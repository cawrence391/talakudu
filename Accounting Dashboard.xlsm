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450" windowWidth="14940" windowHeight="8970" activeTab="8"/>
  </bookViews>
  <sheets>
    <sheet name="Control" sheetId="13" r:id="rId1"/>
    <sheet name="Config" sheetId="12" state="hidden" r:id="rId2"/>
    <sheet name="DataIn" sheetId="1" r:id="rId3"/>
    <sheet name="CategoriesConfig" sheetId="8" r:id="rId4"/>
    <sheet name="DataInProcessed" sheetId="6" r:id="rId5"/>
    <sheet name="Breakdown" sheetId="7" r:id="rId6"/>
    <sheet name="Waterfall" sheetId="10" r:id="rId7"/>
    <sheet name="Monthly" sheetId="9" r:id="rId8"/>
    <sheet name="Rolling" sheetId="11" r:id="rId9"/>
  </sheets>
  <definedNames>
    <definedName name="_xlnm._FilterDatabase" localSheetId="2" hidden="1">DataIn!$A$21:$I$125</definedName>
    <definedName name="_xlnm._FilterDatabase" localSheetId="4" hidden="1">DataInProcessed!$A$2:$S$417</definedName>
    <definedName name="Monthly_Summary">Control!$D$1:$H$4</definedName>
    <definedName name="YTD">Monthly!$B$1:$O$13</definedName>
  </definedNames>
  <calcPr calcId="144525" concurrentCalc="0"/>
</workbook>
</file>

<file path=xl/calcChain.xml><?xml version="1.0" encoding="utf-8"?>
<calcChain xmlns="http://schemas.openxmlformats.org/spreadsheetml/2006/main">
  <c r="P3" i="10" l="1"/>
  <c r="C10" i="7"/>
  <c r="C9" i="7"/>
  <c r="C8" i="7"/>
  <c r="C7" i="7"/>
  <c r="C6" i="7"/>
  <c r="C5" i="7"/>
  <c r="C4" i="7"/>
  <c r="C3" i="7"/>
  <c r="C2" i="7"/>
  <c r="I2" i="11"/>
  <c r="J2" i="11"/>
  <c r="B2" i="11"/>
  <c r="C2" i="11"/>
  <c r="D2" i="11"/>
  <c r="E2" i="11"/>
  <c r="F2" i="11"/>
  <c r="G2" i="11"/>
  <c r="H2" i="11"/>
  <c r="I3" i="11"/>
  <c r="J3" i="11"/>
  <c r="I4" i="11"/>
  <c r="J4" i="11"/>
  <c r="K2" i="11"/>
  <c r="L2" i="11"/>
  <c r="M2" i="11"/>
  <c r="H3" i="6"/>
  <c r="I3" i="6"/>
  <c r="J3" i="6"/>
  <c r="K3" i="6"/>
  <c r="L3" i="6"/>
  <c r="M3" i="6"/>
  <c r="N3" i="6"/>
  <c r="O3" i="6"/>
  <c r="P3" i="6"/>
  <c r="S3" i="6"/>
  <c r="H4" i="6"/>
  <c r="I4" i="6"/>
  <c r="J4" i="6"/>
  <c r="K4" i="6"/>
  <c r="L4" i="6"/>
  <c r="M4" i="6"/>
  <c r="N4" i="6"/>
  <c r="O4" i="6"/>
  <c r="P4" i="6"/>
  <c r="S4" i="6"/>
  <c r="S5" i="6"/>
  <c r="H6" i="6"/>
  <c r="I6" i="6"/>
  <c r="J6" i="6"/>
  <c r="K6" i="6"/>
  <c r="L6" i="6"/>
  <c r="M6" i="6"/>
  <c r="N6" i="6"/>
  <c r="O6" i="6"/>
  <c r="P6" i="6"/>
  <c r="S6" i="6"/>
  <c r="S7" i="6"/>
  <c r="S8" i="6"/>
  <c r="S9" i="6"/>
  <c r="H10" i="6"/>
  <c r="I10" i="6"/>
  <c r="J10" i="6"/>
  <c r="K10" i="6"/>
  <c r="L10" i="6"/>
  <c r="M10" i="6"/>
  <c r="N10" i="6"/>
  <c r="O10" i="6"/>
  <c r="P10" i="6"/>
  <c r="S10" i="6"/>
  <c r="H11" i="6"/>
  <c r="I11" i="6"/>
  <c r="J11" i="6"/>
  <c r="K11" i="6"/>
  <c r="L11" i="6"/>
  <c r="M11" i="6"/>
  <c r="N11" i="6"/>
  <c r="O11" i="6"/>
  <c r="P11" i="6"/>
  <c r="S11" i="6"/>
  <c r="H12" i="6"/>
  <c r="I12" i="6"/>
  <c r="J12" i="6"/>
  <c r="K12" i="6"/>
  <c r="L12" i="6"/>
  <c r="M12" i="6"/>
  <c r="N12" i="6"/>
  <c r="O12" i="6"/>
  <c r="P12" i="6"/>
  <c r="S12" i="6"/>
  <c r="H13" i="6"/>
  <c r="I13" i="6"/>
  <c r="J13" i="6"/>
  <c r="K13" i="6"/>
  <c r="L13" i="6"/>
  <c r="M13" i="6"/>
  <c r="N13" i="6"/>
  <c r="O13" i="6"/>
  <c r="P13" i="6"/>
  <c r="S13" i="6"/>
  <c r="H14" i="6"/>
  <c r="I14" i="6"/>
  <c r="J14" i="6"/>
  <c r="K14" i="6"/>
  <c r="L14" i="6"/>
  <c r="M14" i="6"/>
  <c r="N14" i="6"/>
  <c r="O14" i="6"/>
  <c r="P14" i="6"/>
  <c r="S14" i="6"/>
  <c r="H15" i="6"/>
  <c r="I15" i="6"/>
  <c r="J15" i="6"/>
  <c r="K15" i="6"/>
  <c r="L15" i="6"/>
  <c r="M15" i="6"/>
  <c r="N15" i="6"/>
  <c r="O15" i="6"/>
  <c r="P15" i="6"/>
  <c r="S15" i="6"/>
  <c r="H16" i="6"/>
  <c r="I16" i="6"/>
  <c r="J16" i="6"/>
  <c r="K16" i="6"/>
  <c r="L16" i="6"/>
  <c r="M16" i="6"/>
  <c r="N16" i="6"/>
  <c r="O16" i="6"/>
  <c r="P16" i="6"/>
  <c r="S16" i="6"/>
  <c r="H17" i="6"/>
  <c r="I17" i="6"/>
  <c r="J17" i="6"/>
  <c r="K17" i="6"/>
  <c r="L17" i="6"/>
  <c r="M17" i="6"/>
  <c r="N17" i="6"/>
  <c r="O17" i="6"/>
  <c r="P17" i="6"/>
  <c r="S17" i="6"/>
  <c r="S18" i="6"/>
  <c r="H19" i="6"/>
  <c r="I19" i="6"/>
  <c r="J19" i="6"/>
  <c r="K19" i="6"/>
  <c r="L19" i="6"/>
  <c r="M19" i="6"/>
  <c r="N19" i="6"/>
  <c r="O19" i="6"/>
  <c r="P19" i="6"/>
  <c r="S19" i="6"/>
  <c r="H20" i="6"/>
  <c r="I20" i="6"/>
  <c r="J20" i="6"/>
  <c r="K20" i="6"/>
  <c r="L20" i="6"/>
  <c r="M20" i="6"/>
  <c r="N20" i="6"/>
  <c r="O20" i="6"/>
  <c r="P20" i="6"/>
  <c r="S20" i="6"/>
  <c r="H21" i="6"/>
  <c r="I21" i="6"/>
  <c r="J21" i="6"/>
  <c r="K21" i="6"/>
  <c r="L21" i="6"/>
  <c r="M21" i="6"/>
  <c r="N21" i="6"/>
  <c r="O21" i="6"/>
  <c r="P21" i="6"/>
  <c r="S21" i="6"/>
  <c r="H22" i="6"/>
  <c r="I22" i="6"/>
  <c r="J22" i="6"/>
  <c r="K22" i="6"/>
  <c r="L22" i="6"/>
  <c r="M22" i="6"/>
  <c r="N22" i="6"/>
  <c r="O22" i="6"/>
  <c r="P22" i="6"/>
  <c r="S22" i="6"/>
  <c r="H23" i="6"/>
  <c r="I23" i="6"/>
  <c r="J23" i="6"/>
  <c r="K23" i="6"/>
  <c r="L23" i="6"/>
  <c r="M23" i="6"/>
  <c r="N23" i="6"/>
  <c r="O23" i="6"/>
  <c r="P23" i="6"/>
  <c r="S23" i="6"/>
  <c r="H24" i="6"/>
  <c r="I24" i="6"/>
  <c r="J24" i="6"/>
  <c r="K24" i="6"/>
  <c r="L24" i="6"/>
  <c r="M24" i="6"/>
  <c r="N24" i="6"/>
  <c r="O24" i="6"/>
  <c r="P24" i="6"/>
  <c r="S24" i="6"/>
  <c r="H25" i="6"/>
  <c r="I25" i="6"/>
  <c r="J25" i="6"/>
  <c r="K25" i="6"/>
  <c r="L25" i="6"/>
  <c r="M25" i="6"/>
  <c r="N25" i="6"/>
  <c r="O25" i="6"/>
  <c r="P25" i="6"/>
  <c r="S25" i="6"/>
  <c r="H26" i="6"/>
  <c r="I26" i="6"/>
  <c r="J26" i="6"/>
  <c r="K26" i="6"/>
  <c r="L26" i="6"/>
  <c r="M26" i="6"/>
  <c r="N26" i="6"/>
  <c r="O26" i="6"/>
  <c r="P26" i="6"/>
  <c r="S26" i="6"/>
  <c r="H27" i="6"/>
  <c r="I27" i="6"/>
  <c r="J27" i="6"/>
  <c r="K27" i="6"/>
  <c r="L27" i="6"/>
  <c r="M27" i="6"/>
  <c r="N27" i="6"/>
  <c r="O27" i="6"/>
  <c r="P27" i="6"/>
  <c r="S27" i="6"/>
  <c r="H28" i="6"/>
  <c r="I28" i="6"/>
  <c r="J28" i="6"/>
  <c r="K28" i="6"/>
  <c r="L28" i="6"/>
  <c r="M28" i="6"/>
  <c r="N28" i="6"/>
  <c r="O28" i="6"/>
  <c r="P28" i="6"/>
  <c r="S28" i="6"/>
  <c r="S29" i="6"/>
  <c r="H30" i="6"/>
  <c r="I30" i="6"/>
  <c r="J30" i="6"/>
  <c r="K30" i="6"/>
  <c r="L30" i="6"/>
  <c r="M30" i="6"/>
  <c r="N30" i="6"/>
  <c r="O30" i="6"/>
  <c r="P30" i="6"/>
  <c r="S30" i="6"/>
  <c r="S31" i="6"/>
  <c r="H32" i="6"/>
  <c r="I32" i="6"/>
  <c r="J32" i="6"/>
  <c r="K32" i="6"/>
  <c r="L32" i="6"/>
  <c r="M32" i="6"/>
  <c r="N32" i="6"/>
  <c r="O32" i="6"/>
  <c r="P32" i="6"/>
  <c r="S32" i="6"/>
  <c r="H33" i="6"/>
  <c r="I33" i="6"/>
  <c r="J33" i="6"/>
  <c r="K33" i="6"/>
  <c r="L33" i="6"/>
  <c r="M33" i="6"/>
  <c r="N33" i="6"/>
  <c r="O33" i="6"/>
  <c r="P33" i="6"/>
  <c r="S33" i="6"/>
  <c r="H34" i="6"/>
  <c r="I34" i="6"/>
  <c r="J34" i="6"/>
  <c r="K34" i="6"/>
  <c r="L34" i="6"/>
  <c r="M34" i="6"/>
  <c r="N34" i="6"/>
  <c r="O34" i="6"/>
  <c r="P34" i="6"/>
  <c r="S34" i="6"/>
  <c r="H35" i="6"/>
  <c r="I35" i="6"/>
  <c r="J35" i="6"/>
  <c r="K35" i="6"/>
  <c r="L35" i="6"/>
  <c r="M35" i="6"/>
  <c r="N35" i="6"/>
  <c r="O35" i="6"/>
  <c r="P35" i="6"/>
  <c r="S35" i="6"/>
  <c r="H36" i="6"/>
  <c r="I36" i="6"/>
  <c r="J36" i="6"/>
  <c r="K36" i="6"/>
  <c r="L36" i="6"/>
  <c r="M36" i="6"/>
  <c r="N36" i="6"/>
  <c r="O36" i="6"/>
  <c r="P36" i="6"/>
  <c r="S36" i="6"/>
  <c r="H37" i="6"/>
  <c r="I37" i="6"/>
  <c r="J37" i="6"/>
  <c r="K37" i="6"/>
  <c r="L37" i="6"/>
  <c r="M37" i="6"/>
  <c r="N37" i="6"/>
  <c r="O37" i="6"/>
  <c r="P37" i="6"/>
  <c r="S37" i="6"/>
  <c r="H38" i="6"/>
  <c r="I38" i="6"/>
  <c r="J38" i="6"/>
  <c r="K38" i="6"/>
  <c r="L38" i="6"/>
  <c r="M38" i="6"/>
  <c r="N38" i="6"/>
  <c r="O38" i="6"/>
  <c r="P38" i="6"/>
  <c r="S38" i="6"/>
  <c r="H39" i="6"/>
  <c r="I39" i="6"/>
  <c r="J39" i="6"/>
  <c r="K39" i="6"/>
  <c r="L39" i="6"/>
  <c r="M39" i="6"/>
  <c r="N39" i="6"/>
  <c r="O39" i="6"/>
  <c r="P39" i="6"/>
  <c r="S39" i="6"/>
  <c r="H40" i="6"/>
  <c r="I40" i="6"/>
  <c r="J40" i="6"/>
  <c r="K40" i="6"/>
  <c r="L40" i="6"/>
  <c r="M40" i="6"/>
  <c r="N40" i="6"/>
  <c r="O40" i="6"/>
  <c r="P40" i="6"/>
  <c r="S40" i="6"/>
  <c r="H41" i="6"/>
  <c r="I41" i="6"/>
  <c r="J41" i="6"/>
  <c r="K41" i="6"/>
  <c r="L41" i="6"/>
  <c r="M41" i="6"/>
  <c r="N41" i="6"/>
  <c r="O41" i="6"/>
  <c r="P41" i="6"/>
  <c r="S41" i="6"/>
  <c r="H42" i="6"/>
  <c r="I42" i="6"/>
  <c r="J42" i="6"/>
  <c r="K42" i="6"/>
  <c r="L42" i="6"/>
  <c r="M42" i="6"/>
  <c r="N42" i="6"/>
  <c r="O42" i="6"/>
  <c r="P42" i="6"/>
  <c r="S42" i="6"/>
  <c r="H43" i="6"/>
  <c r="I43" i="6"/>
  <c r="J43" i="6"/>
  <c r="K43" i="6"/>
  <c r="L43" i="6"/>
  <c r="M43" i="6"/>
  <c r="N43" i="6"/>
  <c r="O43" i="6"/>
  <c r="P43" i="6"/>
  <c r="S43" i="6"/>
  <c r="S44" i="6"/>
  <c r="H45" i="6"/>
  <c r="I45" i="6"/>
  <c r="J45" i="6"/>
  <c r="K45" i="6"/>
  <c r="L45" i="6"/>
  <c r="M45" i="6"/>
  <c r="N45" i="6"/>
  <c r="O45" i="6"/>
  <c r="P45" i="6"/>
  <c r="S45" i="6"/>
  <c r="H46" i="6"/>
  <c r="I46" i="6"/>
  <c r="J46" i="6"/>
  <c r="K46" i="6"/>
  <c r="L46" i="6"/>
  <c r="M46" i="6"/>
  <c r="N46" i="6"/>
  <c r="O46" i="6"/>
  <c r="P46" i="6"/>
  <c r="S46" i="6"/>
  <c r="H47" i="6"/>
  <c r="I47" i="6"/>
  <c r="J47" i="6"/>
  <c r="K47" i="6"/>
  <c r="L47" i="6"/>
  <c r="M47" i="6"/>
  <c r="N47" i="6"/>
  <c r="O47" i="6"/>
  <c r="P47" i="6"/>
  <c r="S47" i="6"/>
  <c r="H48" i="6"/>
  <c r="I48" i="6"/>
  <c r="J48" i="6"/>
  <c r="K48" i="6"/>
  <c r="L48" i="6"/>
  <c r="M48" i="6"/>
  <c r="N48" i="6"/>
  <c r="O48" i="6"/>
  <c r="P48" i="6"/>
  <c r="S48" i="6"/>
  <c r="H49" i="6"/>
  <c r="I49" i="6"/>
  <c r="J49" i="6"/>
  <c r="K49" i="6"/>
  <c r="L49" i="6"/>
  <c r="M49" i="6"/>
  <c r="N49" i="6"/>
  <c r="O49" i="6"/>
  <c r="P49" i="6"/>
  <c r="S49" i="6"/>
  <c r="H50" i="6"/>
  <c r="I50" i="6"/>
  <c r="J50" i="6"/>
  <c r="K50" i="6"/>
  <c r="L50" i="6"/>
  <c r="M50" i="6"/>
  <c r="N50" i="6"/>
  <c r="O50" i="6"/>
  <c r="P50" i="6"/>
  <c r="S50" i="6"/>
  <c r="H51" i="6"/>
  <c r="I51" i="6"/>
  <c r="J51" i="6"/>
  <c r="K51" i="6"/>
  <c r="L51" i="6"/>
  <c r="M51" i="6"/>
  <c r="N51" i="6"/>
  <c r="O51" i="6"/>
  <c r="P51" i="6"/>
  <c r="S51" i="6"/>
  <c r="H52" i="6"/>
  <c r="I52" i="6"/>
  <c r="J52" i="6"/>
  <c r="K52" i="6"/>
  <c r="L52" i="6"/>
  <c r="M52" i="6"/>
  <c r="N52" i="6"/>
  <c r="O52" i="6"/>
  <c r="P52" i="6"/>
  <c r="S52" i="6"/>
  <c r="H53" i="6"/>
  <c r="I53" i="6"/>
  <c r="J53" i="6"/>
  <c r="K53" i="6"/>
  <c r="L53" i="6"/>
  <c r="M53" i="6"/>
  <c r="N53" i="6"/>
  <c r="O53" i="6"/>
  <c r="P53" i="6"/>
  <c r="S53" i="6"/>
  <c r="H54" i="6"/>
  <c r="I54" i="6"/>
  <c r="J54" i="6"/>
  <c r="K54" i="6"/>
  <c r="L54" i="6"/>
  <c r="M54" i="6"/>
  <c r="N54" i="6"/>
  <c r="O54" i="6"/>
  <c r="P54" i="6"/>
  <c r="S54" i="6"/>
  <c r="H55" i="6"/>
  <c r="I55" i="6"/>
  <c r="J55" i="6"/>
  <c r="K55" i="6"/>
  <c r="L55" i="6"/>
  <c r="M55" i="6"/>
  <c r="N55" i="6"/>
  <c r="O55" i="6"/>
  <c r="P55" i="6"/>
  <c r="S55" i="6"/>
  <c r="H56" i="6"/>
  <c r="I56" i="6"/>
  <c r="J56" i="6"/>
  <c r="K56" i="6"/>
  <c r="L56" i="6"/>
  <c r="M56" i="6"/>
  <c r="N56" i="6"/>
  <c r="O56" i="6"/>
  <c r="P56" i="6"/>
  <c r="S56" i="6"/>
  <c r="S57" i="6"/>
  <c r="H58" i="6"/>
  <c r="I58" i="6"/>
  <c r="J58" i="6"/>
  <c r="K58" i="6"/>
  <c r="L58" i="6"/>
  <c r="M58" i="6"/>
  <c r="N58" i="6"/>
  <c r="O58" i="6"/>
  <c r="P58" i="6"/>
  <c r="S58" i="6"/>
  <c r="S59" i="6"/>
  <c r="H60" i="6"/>
  <c r="I60" i="6"/>
  <c r="J60" i="6"/>
  <c r="K60" i="6"/>
  <c r="L60" i="6"/>
  <c r="M60" i="6"/>
  <c r="N60" i="6"/>
  <c r="O60" i="6"/>
  <c r="P60" i="6"/>
  <c r="S60" i="6"/>
  <c r="S61" i="6"/>
  <c r="H62" i="6"/>
  <c r="I62" i="6"/>
  <c r="J62" i="6"/>
  <c r="K62" i="6"/>
  <c r="L62" i="6"/>
  <c r="M62" i="6"/>
  <c r="N62" i="6"/>
  <c r="O62" i="6"/>
  <c r="P62" i="6"/>
  <c r="S62" i="6"/>
  <c r="H63" i="6"/>
  <c r="I63" i="6"/>
  <c r="J63" i="6"/>
  <c r="K63" i="6"/>
  <c r="L63" i="6"/>
  <c r="M63" i="6"/>
  <c r="N63" i="6"/>
  <c r="O63" i="6"/>
  <c r="P63" i="6"/>
  <c r="S63" i="6"/>
  <c r="H64" i="6"/>
  <c r="I64" i="6"/>
  <c r="J64" i="6"/>
  <c r="K64" i="6"/>
  <c r="L64" i="6"/>
  <c r="M64" i="6"/>
  <c r="N64" i="6"/>
  <c r="O64" i="6"/>
  <c r="P64" i="6"/>
  <c r="S64" i="6"/>
  <c r="H65" i="6"/>
  <c r="I65" i="6"/>
  <c r="J65" i="6"/>
  <c r="K65" i="6"/>
  <c r="L65" i="6"/>
  <c r="M65" i="6"/>
  <c r="N65" i="6"/>
  <c r="O65" i="6"/>
  <c r="P65" i="6"/>
  <c r="S65" i="6"/>
  <c r="H66" i="6"/>
  <c r="I66" i="6"/>
  <c r="J66" i="6"/>
  <c r="K66" i="6"/>
  <c r="L66" i="6"/>
  <c r="M66" i="6"/>
  <c r="N66" i="6"/>
  <c r="O66" i="6"/>
  <c r="P66" i="6"/>
  <c r="S66" i="6"/>
  <c r="S67" i="6"/>
  <c r="S68" i="6"/>
  <c r="H69" i="6"/>
  <c r="I69" i="6"/>
  <c r="J69" i="6"/>
  <c r="K69" i="6"/>
  <c r="L69" i="6"/>
  <c r="M69" i="6"/>
  <c r="N69" i="6"/>
  <c r="O69" i="6"/>
  <c r="P69" i="6"/>
  <c r="S69" i="6"/>
  <c r="H70" i="6"/>
  <c r="I70" i="6"/>
  <c r="J70" i="6"/>
  <c r="K70" i="6"/>
  <c r="L70" i="6"/>
  <c r="M70" i="6"/>
  <c r="N70" i="6"/>
  <c r="O70" i="6"/>
  <c r="P70" i="6"/>
  <c r="S70" i="6"/>
  <c r="H71" i="6"/>
  <c r="I71" i="6"/>
  <c r="J71" i="6"/>
  <c r="K71" i="6"/>
  <c r="L71" i="6"/>
  <c r="M71" i="6"/>
  <c r="N71" i="6"/>
  <c r="O71" i="6"/>
  <c r="P71" i="6"/>
  <c r="S71" i="6"/>
  <c r="H72" i="6"/>
  <c r="I72" i="6"/>
  <c r="J72" i="6"/>
  <c r="K72" i="6"/>
  <c r="L72" i="6"/>
  <c r="M72" i="6"/>
  <c r="N72" i="6"/>
  <c r="O72" i="6"/>
  <c r="P72" i="6"/>
  <c r="S72" i="6"/>
  <c r="S73" i="6"/>
  <c r="H74" i="6"/>
  <c r="I74" i="6"/>
  <c r="J74" i="6"/>
  <c r="K74" i="6"/>
  <c r="L74" i="6"/>
  <c r="M74" i="6"/>
  <c r="N74" i="6"/>
  <c r="O74" i="6"/>
  <c r="P74" i="6"/>
  <c r="S74" i="6"/>
  <c r="H75" i="6"/>
  <c r="I75" i="6"/>
  <c r="J75" i="6"/>
  <c r="K75" i="6"/>
  <c r="L75" i="6"/>
  <c r="M75" i="6"/>
  <c r="N75" i="6"/>
  <c r="O75" i="6"/>
  <c r="P75" i="6"/>
  <c r="S75" i="6"/>
  <c r="H76" i="6"/>
  <c r="I76" i="6"/>
  <c r="J76" i="6"/>
  <c r="K76" i="6"/>
  <c r="L76" i="6"/>
  <c r="M76" i="6"/>
  <c r="N76" i="6"/>
  <c r="O76" i="6"/>
  <c r="P76" i="6"/>
  <c r="S76" i="6"/>
  <c r="H77" i="6"/>
  <c r="I77" i="6"/>
  <c r="J77" i="6"/>
  <c r="K77" i="6"/>
  <c r="L77" i="6"/>
  <c r="M77" i="6"/>
  <c r="N77" i="6"/>
  <c r="O77" i="6"/>
  <c r="P77" i="6"/>
  <c r="S77" i="6"/>
  <c r="H78" i="6"/>
  <c r="I78" i="6"/>
  <c r="J78" i="6"/>
  <c r="K78" i="6"/>
  <c r="L78" i="6"/>
  <c r="M78" i="6"/>
  <c r="N78" i="6"/>
  <c r="O78" i="6"/>
  <c r="P78" i="6"/>
  <c r="S78" i="6"/>
  <c r="H79" i="6"/>
  <c r="I79" i="6"/>
  <c r="J79" i="6"/>
  <c r="K79" i="6"/>
  <c r="L79" i="6"/>
  <c r="M79" i="6"/>
  <c r="N79" i="6"/>
  <c r="O79" i="6"/>
  <c r="P79" i="6"/>
  <c r="S79" i="6"/>
  <c r="H80" i="6"/>
  <c r="I80" i="6"/>
  <c r="J80" i="6"/>
  <c r="K80" i="6"/>
  <c r="L80" i="6"/>
  <c r="M80" i="6"/>
  <c r="N80" i="6"/>
  <c r="O80" i="6"/>
  <c r="P80" i="6"/>
  <c r="S80" i="6"/>
  <c r="H81" i="6"/>
  <c r="I81" i="6"/>
  <c r="J81" i="6"/>
  <c r="K81" i="6"/>
  <c r="L81" i="6"/>
  <c r="M81" i="6"/>
  <c r="N81" i="6"/>
  <c r="O81" i="6"/>
  <c r="P81" i="6"/>
  <c r="S81" i="6"/>
  <c r="H82" i="6"/>
  <c r="I82" i="6"/>
  <c r="J82" i="6"/>
  <c r="K82" i="6"/>
  <c r="L82" i="6"/>
  <c r="M82" i="6"/>
  <c r="N82" i="6"/>
  <c r="O82" i="6"/>
  <c r="P82" i="6"/>
  <c r="S82" i="6"/>
  <c r="H83" i="6"/>
  <c r="I83" i="6"/>
  <c r="J83" i="6"/>
  <c r="K83" i="6"/>
  <c r="L83" i="6"/>
  <c r="M83" i="6"/>
  <c r="N83" i="6"/>
  <c r="O83" i="6"/>
  <c r="P83" i="6"/>
  <c r="S83" i="6"/>
  <c r="S84" i="6"/>
  <c r="H85" i="6"/>
  <c r="I85" i="6"/>
  <c r="J85" i="6"/>
  <c r="K85" i="6"/>
  <c r="L85" i="6"/>
  <c r="M85" i="6"/>
  <c r="N85" i="6"/>
  <c r="O85" i="6"/>
  <c r="P85" i="6"/>
  <c r="S85" i="6"/>
  <c r="S86" i="6"/>
  <c r="H87" i="6"/>
  <c r="I87" i="6"/>
  <c r="J87" i="6"/>
  <c r="K87" i="6"/>
  <c r="L87" i="6"/>
  <c r="M87" i="6"/>
  <c r="N87" i="6"/>
  <c r="O87" i="6"/>
  <c r="P87" i="6"/>
  <c r="S87" i="6"/>
  <c r="H88" i="6"/>
  <c r="I88" i="6"/>
  <c r="J88" i="6"/>
  <c r="K88" i="6"/>
  <c r="L88" i="6"/>
  <c r="M88" i="6"/>
  <c r="N88" i="6"/>
  <c r="O88" i="6"/>
  <c r="P88" i="6"/>
  <c r="S88" i="6"/>
  <c r="H89" i="6"/>
  <c r="I89" i="6"/>
  <c r="J89" i="6"/>
  <c r="K89" i="6"/>
  <c r="L89" i="6"/>
  <c r="M89" i="6"/>
  <c r="N89" i="6"/>
  <c r="O89" i="6"/>
  <c r="P89" i="6"/>
  <c r="S89" i="6"/>
  <c r="H90" i="6"/>
  <c r="I90" i="6"/>
  <c r="J90" i="6"/>
  <c r="K90" i="6"/>
  <c r="L90" i="6"/>
  <c r="M90" i="6"/>
  <c r="N90" i="6"/>
  <c r="O90" i="6"/>
  <c r="P90" i="6"/>
  <c r="S90" i="6"/>
  <c r="H91" i="6"/>
  <c r="I91" i="6"/>
  <c r="J91" i="6"/>
  <c r="K91" i="6"/>
  <c r="L91" i="6"/>
  <c r="M91" i="6"/>
  <c r="N91" i="6"/>
  <c r="O91" i="6"/>
  <c r="P91" i="6"/>
  <c r="S91" i="6"/>
  <c r="H92" i="6"/>
  <c r="I92" i="6"/>
  <c r="J92" i="6"/>
  <c r="K92" i="6"/>
  <c r="L92" i="6"/>
  <c r="M92" i="6"/>
  <c r="N92" i="6"/>
  <c r="O92" i="6"/>
  <c r="P92" i="6"/>
  <c r="S92" i="6"/>
  <c r="H93" i="6"/>
  <c r="I93" i="6"/>
  <c r="J93" i="6"/>
  <c r="K93" i="6"/>
  <c r="L93" i="6"/>
  <c r="M93" i="6"/>
  <c r="N93" i="6"/>
  <c r="O93" i="6"/>
  <c r="P93" i="6"/>
  <c r="S93" i="6"/>
  <c r="H94" i="6"/>
  <c r="I94" i="6"/>
  <c r="J94" i="6"/>
  <c r="K94" i="6"/>
  <c r="L94" i="6"/>
  <c r="M94" i="6"/>
  <c r="N94" i="6"/>
  <c r="O94" i="6"/>
  <c r="P94" i="6"/>
  <c r="S94" i="6"/>
  <c r="H95" i="6"/>
  <c r="I95" i="6"/>
  <c r="J95" i="6"/>
  <c r="K95" i="6"/>
  <c r="L95" i="6"/>
  <c r="M95" i="6"/>
  <c r="N95" i="6"/>
  <c r="O95" i="6"/>
  <c r="P95" i="6"/>
  <c r="S95" i="6"/>
  <c r="H96" i="6"/>
  <c r="I96" i="6"/>
  <c r="J96" i="6"/>
  <c r="K96" i="6"/>
  <c r="L96" i="6"/>
  <c r="M96" i="6"/>
  <c r="N96" i="6"/>
  <c r="O96" i="6"/>
  <c r="P96" i="6"/>
  <c r="S96" i="6"/>
  <c r="H97" i="6"/>
  <c r="I97" i="6"/>
  <c r="J97" i="6"/>
  <c r="K97" i="6"/>
  <c r="L97" i="6"/>
  <c r="M97" i="6"/>
  <c r="N97" i="6"/>
  <c r="O97" i="6"/>
  <c r="P97" i="6"/>
  <c r="S97" i="6"/>
  <c r="H98" i="6"/>
  <c r="I98" i="6"/>
  <c r="J98" i="6"/>
  <c r="K98" i="6"/>
  <c r="L98" i="6"/>
  <c r="M98" i="6"/>
  <c r="N98" i="6"/>
  <c r="O98" i="6"/>
  <c r="P98" i="6"/>
  <c r="S98" i="6"/>
  <c r="H99" i="6"/>
  <c r="I99" i="6"/>
  <c r="J99" i="6"/>
  <c r="K99" i="6"/>
  <c r="L99" i="6"/>
  <c r="M99" i="6"/>
  <c r="N99" i="6"/>
  <c r="O99" i="6"/>
  <c r="P99" i="6"/>
  <c r="S99" i="6"/>
  <c r="H100" i="6"/>
  <c r="I100" i="6"/>
  <c r="J100" i="6"/>
  <c r="K100" i="6"/>
  <c r="L100" i="6"/>
  <c r="M100" i="6"/>
  <c r="N100" i="6"/>
  <c r="O100" i="6"/>
  <c r="P100" i="6"/>
  <c r="S100" i="6"/>
  <c r="H101" i="6"/>
  <c r="I101" i="6"/>
  <c r="J101" i="6"/>
  <c r="K101" i="6"/>
  <c r="L101" i="6"/>
  <c r="M101" i="6"/>
  <c r="N101" i="6"/>
  <c r="O101" i="6"/>
  <c r="P101" i="6"/>
  <c r="S101" i="6"/>
  <c r="S102" i="6"/>
  <c r="S103" i="6"/>
  <c r="S104" i="6"/>
  <c r="S105" i="6"/>
  <c r="S106" i="6"/>
  <c r="H107" i="6"/>
  <c r="I107" i="6"/>
  <c r="J107" i="6"/>
  <c r="K107" i="6"/>
  <c r="L107" i="6"/>
  <c r="M107" i="6"/>
  <c r="N107" i="6"/>
  <c r="O107" i="6"/>
  <c r="P107" i="6"/>
  <c r="S107" i="6"/>
  <c r="H108" i="6"/>
  <c r="I108" i="6"/>
  <c r="J108" i="6"/>
  <c r="K108" i="6"/>
  <c r="L108" i="6"/>
  <c r="M108" i="6"/>
  <c r="N108" i="6"/>
  <c r="O108" i="6"/>
  <c r="P108" i="6"/>
  <c r="S108" i="6"/>
  <c r="S109" i="6"/>
  <c r="S110" i="6"/>
  <c r="S111" i="6"/>
  <c r="S112" i="6"/>
  <c r="H113" i="6"/>
  <c r="I113" i="6"/>
  <c r="J113" i="6"/>
  <c r="K113" i="6"/>
  <c r="L113" i="6"/>
  <c r="M113" i="6"/>
  <c r="N113" i="6"/>
  <c r="O113" i="6"/>
  <c r="P113" i="6"/>
  <c r="S113" i="6"/>
  <c r="H114" i="6"/>
  <c r="I114" i="6"/>
  <c r="J114" i="6"/>
  <c r="K114" i="6"/>
  <c r="L114" i="6"/>
  <c r="M114" i="6"/>
  <c r="N114" i="6"/>
  <c r="O114" i="6"/>
  <c r="P114" i="6"/>
  <c r="S114" i="6"/>
  <c r="S115" i="6"/>
  <c r="H116" i="6"/>
  <c r="I116" i="6"/>
  <c r="J116" i="6"/>
  <c r="K116" i="6"/>
  <c r="L116" i="6"/>
  <c r="M116" i="6"/>
  <c r="N116" i="6"/>
  <c r="O116" i="6"/>
  <c r="P116" i="6"/>
  <c r="S116" i="6"/>
  <c r="H117" i="6"/>
  <c r="I117" i="6"/>
  <c r="J117" i="6"/>
  <c r="K117" i="6"/>
  <c r="L117" i="6"/>
  <c r="M117" i="6"/>
  <c r="N117" i="6"/>
  <c r="O117" i="6"/>
  <c r="P117" i="6"/>
  <c r="S117" i="6"/>
  <c r="S118" i="6"/>
  <c r="H119" i="6"/>
  <c r="I119" i="6"/>
  <c r="J119" i="6"/>
  <c r="K119" i="6"/>
  <c r="L119" i="6"/>
  <c r="M119" i="6"/>
  <c r="N119" i="6"/>
  <c r="O119" i="6"/>
  <c r="P119" i="6"/>
  <c r="S119" i="6"/>
  <c r="H120" i="6"/>
  <c r="I120" i="6"/>
  <c r="J120" i="6"/>
  <c r="K120" i="6"/>
  <c r="L120" i="6"/>
  <c r="M120" i="6"/>
  <c r="N120" i="6"/>
  <c r="O120" i="6"/>
  <c r="P120" i="6"/>
  <c r="S120" i="6"/>
  <c r="H121" i="6"/>
  <c r="I121" i="6"/>
  <c r="J121" i="6"/>
  <c r="K121" i="6"/>
  <c r="L121" i="6"/>
  <c r="M121" i="6"/>
  <c r="N121" i="6"/>
  <c r="O121" i="6"/>
  <c r="P121" i="6"/>
  <c r="S121" i="6"/>
  <c r="S122" i="6"/>
  <c r="H123" i="6"/>
  <c r="I123" i="6"/>
  <c r="J123" i="6"/>
  <c r="K123" i="6"/>
  <c r="L123" i="6"/>
  <c r="M123" i="6"/>
  <c r="N123" i="6"/>
  <c r="O123" i="6"/>
  <c r="P123" i="6"/>
  <c r="S123" i="6"/>
  <c r="H124" i="6"/>
  <c r="I124" i="6"/>
  <c r="J124" i="6"/>
  <c r="K124" i="6"/>
  <c r="L124" i="6"/>
  <c r="M124" i="6"/>
  <c r="N124" i="6"/>
  <c r="O124" i="6"/>
  <c r="P124" i="6"/>
  <c r="S124" i="6"/>
  <c r="H125" i="6"/>
  <c r="I125" i="6"/>
  <c r="J125" i="6"/>
  <c r="K125" i="6"/>
  <c r="L125" i="6"/>
  <c r="M125" i="6"/>
  <c r="N125" i="6"/>
  <c r="O125" i="6"/>
  <c r="P125" i="6"/>
  <c r="S125" i="6"/>
  <c r="H126" i="6"/>
  <c r="I126" i="6"/>
  <c r="J126" i="6"/>
  <c r="K126" i="6"/>
  <c r="L126" i="6"/>
  <c r="M126" i="6"/>
  <c r="N126" i="6"/>
  <c r="O126" i="6"/>
  <c r="P126" i="6"/>
  <c r="S126" i="6"/>
  <c r="H127" i="6"/>
  <c r="I127" i="6"/>
  <c r="J127" i="6"/>
  <c r="K127" i="6"/>
  <c r="L127" i="6"/>
  <c r="M127" i="6"/>
  <c r="N127" i="6"/>
  <c r="O127" i="6"/>
  <c r="P127" i="6"/>
  <c r="S127" i="6"/>
  <c r="H128" i="6"/>
  <c r="I128" i="6"/>
  <c r="J128" i="6"/>
  <c r="K128" i="6"/>
  <c r="L128" i="6"/>
  <c r="M128" i="6"/>
  <c r="N128" i="6"/>
  <c r="O128" i="6"/>
  <c r="P128" i="6"/>
  <c r="S128" i="6"/>
  <c r="H129" i="6"/>
  <c r="I129" i="6"/>
  <c r="J129" i="6"/>
  <c r="K129" i="6"/>
  <c r="L129" i="6"/>
  <c r="M129" i="6"/>
  <c r="N129" i="6"/>
  <c r="O129" i="6"/>
  <c r="P129" i="6"/>
  <c r="S129" i="6"/>
  <c r="H130" i="6"/>
  <c r="I130" i="6"/>
  <c r="J130" i="6"/>
  <c r="K130" i="6"/>
  <c r="L130" i="6"/>
  <c r="M130" i="6"/>
  <c r="N130" i="6"/>
  <c r="O130" i="6"/>
  <c r="P130" i="6"/>
  <c r="S130" i="6"/>
  <c r="H131" i="6"/>
  <c r="I131" i="6"/>
  <c r="J131" i="6"/>
  <c r="K131" i="6"/>
  <c r="L131" i="6"/>
  <c r="M131" i="6"/>
  <c r="N131" i="6"/>
  <c r="O131" i="6"/>
  <c r="P131" i="6"/>
  <c r="S131" i="6"/>
  <c r="H132" i="6"/>
  <c r="I132" i="6"/>
  <c r="J132" i="6"/>
  <c r="K132" i="6"/>
  <c r="L132" i="6"/>
  <c r="M132" i="6"/>
  <c r="N132" i="6"/>
  <c r="O132" i="6"/>
  <c r="P132" i="6"/>
  <c r="S132" i="6"/>
  <c r="H133" i="6"/>
  <c r="I133" i="6"/>
  <c r="J133" i="6"/>
  <c r="K133" i="6"/>
  <c r="L133" i="6"/>
  <c r="M133" i="6"/>
  <c r="N133" i="6"/>
  <c r="O133" i="6"/>
  <c r="P133" i="6"/>
  <c r="S133" i="6"/>
  <c r="H134" i="6"/>
  <c r="I134" i="6"/>
  <c r="J134" i="6"/>
  <c r="K134" i="6"/>
  <c r="L134" i="6"/>
  <c r="M134" i="6"/>
  <c r="N134" i="6"/>
  <c r="O134" i="6"/>
  <c r="P134" i="6"/>
  <c r="S134" i="6"/>
  <c r="H135" i="6"/>
  <c r="I135" i="6"/>
  <c r="J135" i="6"/>
  <c r="K135" i="6"/>
  <c r="L135" i="6"/>
  <c r="M135" i="6"/>
  <c r="N135" i="6"/>
  <c r="O135" i="6"/>
  <c r="P135" i="6"/>
  <c r="S135" i="6"/>
  <c r="H136" i="6"/>
  <c r="I136" i="6"/>
  <c r="J136" i="6"/>
  <c r="K136" i="6"/>
  <c r="L136" i="6"/>
  <c r="M136" i="6"/>
  <c r="N136" i="6"/>
  <c r="O136" i="6"/>
  <c r="P136" i="6"/>
  <c r="S136" i="6"/>
  <c r="H137" i="6"/>
  <c r="I137" i="6"/>
  <c r="J137" i="6"/>
  <c r="K137" i="6"/>
  <c r="L137" i="6"/>
  <c r="M137" i="6"/>
  <c r="N137" i="6"/>
  <c r="O137" i="6"/>
  <c r="P137" i="6"/>
  <c r="S137" i="6"/>
  <c r="H138" i="6"/>
  <c r="I138" i="6"/>
  <c r="J138" i="6"/>
  <c r="K138" i="6"/>
  <c r="L138" i="6"/>
  <c r="M138" i="6"/>
  <c r="N138" i="6"/>
  <c r="O138" i="6"/>
  <c r="P138" i="6"/>
  <c r="S138" i="6"/>
  <c r="H139" i="6"/>
  <c r="I139" i="6"/>
  <c r="J139" i="6"/>
  <c r="K139" i="6"/>
  <c r="L139" i="6"/>
  <c r="M139" i="6"/>
  <c r="N139" i="6"/>
  <c r="O139" i="6"/>
  <c r="P139" i="6"/>
  <c r="S139" i="6"/>
  <c r="H140" i="6"/>
  <c r="I140" i="6"/>
  <c r="J140" i="6"/>
  <c r="K140" i="6"/>
  <c r="L140" i="6"/>
  <c r="M140" i="6"/>
  <c r="N140" i="6"/>
  <c r="O140" i="6"/>
  <c r="P140" i="6"/>
  <c r="S140" i="6"/>
  <c r="H141" i="6"/>
  <c r="I141" i="6"/>
  <c r="J141" i="6"/>
  <c r="K141" i="6"/>
  <c r="L141" i="6"/>
  <c r="M141" i="6"/>
  <c r="N141" i="6"/>
  <c r="O141" i="6"/>
  <c r="P141" i="6"/>
  <c r="S141" i="6"/>
  <c r="H142" i="6"/>
  <c r="I142" i="6"/>
  <c r="J142" i="6"/>
  <c r="K142" i="6"/>
  <c r="L142" i="6"/>
  <c r="M142" i="6"/>
  <c r="N142" i="6"/>
  <c r="O142" i="6"/>
  <c r="P142" i="6"/>
  <c r="S142" i="6"/>
  <c r="H143" i="6"/>
  <c r="I143" i="6"/>
  <c r="J143" i="6"/>
  <c r="K143" i="6"/>
  <c r="L143" i="6"/>
  <c r="M143" i="6"/>
  <c r="N143" i="6"/>
  <c r="O143" i="6"/>
  <c r="P143" i="6"/>
  <c r="S143" i="6"/>
  <c r="H144" i="6"/>
  <c r="I144" i="6"/>
  <c r="J144" i="6"/>
  <c r="K144" i="6"/>
  <c r="L144" i="6"/>
  <c r="M144" i="6"/>
  <c r="N144" i="6"/>
  <c r="O144" i="6"/>
  <c r="P144" i="6"/>
  <c r="S144" i="6"/>
  <c r="H145" i="6"/>
  <c r="I145" i="6"/>
  <c r="J145" i="6"/>
  <c r="K145" i="6"/>
  <c r="L145" i="6"/>
  <c r="M145" i="6"/>
  <c r="N145" i="6"/>
  <c r="O145" i="6"/>
  <c r="P145" i="6"/>
  <c r="S145" i="6"/>
  <c r="H146" i="6"/>
  <c r="I146" i="6"/>
  <c r="J146" i="6"/>
  <c r="K146" i="6"/>
  <c r="L146" i="6"/>
  <c r="M146" i="6"/>
  <c r="N146" i="6"/>
  <c r="O146" i="6"/>
  <c r="P146" i="6"/>
  <c r="S146" i="6"/>
  <c r="H147" i="6"/>
  <c r="I147" i="6"/>
  <c r="J147" i="6"/>
  <c r="K147" i="6"/>
  <c r="L147" i="6"/>
  <c r="M147" i="6"/>
  <c r="N147" i="6"/>
  <c r="O147" i="6"/>
  <c r="P147" i="6"/>
  <c r="S147" i="6"/>
  <c r="H148" i="6"/>
  <c r="I148" i="6"/>
  <c r="J148" i="6"/>
  <c r="K148" i="6"/>
  <c r="L148" i="6"/>
  <c r="M148" i="6"/>
  <c r="N148" i="6"/>
  <c r="O148" i="6"/>
  <c r="P148" i="6"/>
  <c r="S148" i="6"/>
  <c r="H149" i="6"/>
  <c r="I149" i="6"/>
  <c r="J149" i="6"/>
  <c r="K149" i="6"/>
  <c r="L149" i="6"/>
  <c r="M149" i="6"/>
  <c r="N149" i="6"/>
  <c r="O149" i="6"/>
  <c r="P149" i="6"/>
  <c r="S149" i="6"/>
  <c r="H150" i="6"/>
  <c r="I150" i="6"/>
  <c r="J150" i="6"/>
  <c r="K150" i="6"/>
  <c r="L150" i="6"/>
  <c r="M150" i="6"/>
  <c r="N150" i="6"/>
  <c r="O150" i="6"/>
  <c r="P150" i="6"/>
  <c r="S150" i="6"/>
  <c r="S151" i="6"/>
  <c r="H152" i="6"/>
  <c r="I152" i="6"/>
  <c r="J152" i="6"/>
  <c r="K152" i="6"/>
  <c r="L152" i="6"/>
  <c r="M152" i="6"/>
  <c r="N152" i="6"/>
  <c r="O152" i="6"/>
  <c r="P152" i="6"/>
  <c r="S152" i="6"/>
  <c r="H153" i="6"/>
  <c r="I153" i="6"/>
  <c r="J153" i="6"/>
  <c r="K153" i="6"/>
  <c r="L153" i="6"/>
  <c r="M153" i="6"/>
  <c r="N153" i="6"/>
  <c r="O153" i="6"/>
  <c r="P153" i="6"/>
  <c r="S153" i="6"/>
  <c r="H154" i="6"/>
  <c r="I154" i="6"/>
  <c r="J154" i="6"/>
  <c r="K154" i="6"/>
  <c r="L154" i="6"/>
  <c r="M154" i="6"/>
  <c r="N154" i="6"/>
  <c r="O154" i="6"/>
  <c r="P154" i="6"/>
  <c r="S154" i="6"/>
  <c r="H155" i="6"/>
  <c r="I155" i="6"/>
  <c r="J155" i="6"/>
  <c r="K155" i="6"/>
  <c r="L155" i="6"/>
  <c r="M155" i="6"/>
  <c r="N155" i="6"/>
  <c r="O155" i="6"/>
  <c r="P155" i="6"/>
  <c r="S155" i="6"/>
  <c r="H156" i="6"/>
  <c r="I156" i="6"/>
  <c r="J156" i="6"/>
  <c r="K156" i="6"/>
  <c r="L156" i="6"/>
  <c r="M156" i="6"/>
  <c r="N156" i="6"/>
  <c r="O156" i="6"/>
  <c r="P156" i="6"/>
  <c r="S156" i="6"/>
  <c r="H157" i="6"/>
  <c r="I157" i="6"/>
  <c r="J157" i="6"/>
  <c r="K157" i="6"/>
  <c r="L157" i="6"/>
  <c r="M157" i="6"/>
  <c r="N157" i="6"/>
  <c r="O157" i="6"/>
  <c r="P157" i="6"/>
  <c r="S157" i="6"/>
  <c r="S158" i="6"/>
  <c r="H159" i="6"/>
  <c r="I159" i="6"/>
  <c r="J159" i="6"/>
  <c r="K159" i="6"/>
  <c r="L159" i="6"/>
  <c r="M159" i="6"/>
  <c r="N159" i="6"/>
  <c r="O159" i="6"/>
  <c r="P159" i="6"/>
  <c r="S159" i="6"/>
  <c r="H160" i="6"/>
  <c r="I160" i="6"/>
  <c r="J160" i="6"/>
  <c r="K160" i="6"/>
  <c r="L160" i="6"/>
  <c r="M160" i="6"/>
  <c r="N160" i="6"/>
  <c r="O160" i="6"/>
  <c r="P160" i="6"/>
  <c r="S160" i="6"/>
  <c r="H161" i="6"/>
  <c r="I161" i="6"/>
  <c r="J161" i="6"/>
  <c r="K161" i="6"/>
  <c r="L161" i="6"/>
  <c r="M161" i="6"/>
  <c r="N161" i="6"/>
  <c r="O161" i="6"/>
  <c r="P161" i="6"/>
  <c r="S161" i="6"/>
  <c r="H162" i="6"/>
  <c r="I162" i="6"/>
  <c r="J162" i="6"/>
  <c r="K162" i="6"/>
  <c r="L162" i="6"/>
  <c r="M162" i="6"/>
  <c r="N162" i="6"/>
  <c r="O162" i="6"/>
  <c r="P162" i="6"/>
  <c r="S162" i="6"/>
  <c r="H163" i="6"/>
  <c r="I163" i="6"/>
  <c r="J163" i="6"/>
  <c r="K163" i="6"/>
  <c r="L163" i="6"/>
  <c r="M163" i="6"/>
  <c r="N163" i="6"/>
  <c r="O163" i="6"/>
  <c r="P163" i="6"/>
  <c r="S163" i="6"/>
  <c r="H164" i="6"/>
  <c r="I164" i="6"/>
  <c r="J164" i="6"/>
  <c r="K164" i="6"/>
  <c r="L164" i="6"/>
  <c r="M164" i="6"/>
  <c r="N164" i="6"/>
  <c r="O164" i="6"/>
  <c r="P164" i="6"/>
  <c r="S164" i="6"/>
  <c r="H165" i="6"/>
  <c r="I165" i="6"/>
  <c r="J165" i="6"/>
  <c r="K165" i="6"/>
  <c r="L165" i="6"/>
  <c r="M165" i="6"/>
  <c r="N165" i="6"/>
  <c r="O165" i="6"/>
  <c r="P165" i="6"/>
  <c r="S165" i="6"/>
  <c r="H166" i="6"/>
  <c r="I166" i="6"/>
  <c r="J166" i="6"/>
  <c r="K166" i="6"/>
  <c r="L166" i="6"/>
  <c r="M166" i="6"/>
  <c r="N166" i="6"/>
  <c r="O166" i="6"/>
  <c r="P166" i="6"/>
  <c r="S166" i="6"/>
  <c r="H167" i="6"/>
  <c r="I167" i="6"/>
  <c r="J167" i="6"/>
  <c r="K167" i="6"/>
  <c r="L167" i="6"/>
  <c r="M167" i="6"/>
  <c r="N167" i="6"/>
  <c r="O167" i="6"/>
  <c r="P167" i="6"/>
  <c r="S167" i="6"/>
  <c r="H168" i="6"/>
  <c r="I168" i="6"/>
  <c r="J168" i="6"/>
  <c r="K168" i="6"/>
  <c r="L168" i="6"/>
  <c r="M168" i="6"/>
  <c r="N168" i="6"/>
  <c r="O168" i="6"/>
  <c r="P168" i="6"/>
  <c r="S168" i="6"/>
  <c r="S169" i="6"/>
  <c r="H170" i="6"/>
  <c r="I170" i="6"/>
  <c r="J170" i="6"/>
  <c r="K170" i="6"/>
  <c r="L170" i="6"/>
  <c r="M170" i="6"/>
  <c r="N170" i="6"/>
  <c r="O170" i="6"/>
  <c r="P170" i="6"/>
  <c r="S170" i="6"/>
  <c r="H171" i="6"/>
  <c r="I171" i="6"/>
  <c r="J171" i="6"/>
  <c r="K171" i="6"/>
  <c r="L171" i="6"/>
  <c r="M171" i="6"/>
  <c r="N171" i="6"/>
  <c r="O171" i="6"/>
  <c r="P171" i="6"/>
  <c r="S171" i="6"/>
  <c r="H172" i="6"/>
  <c r="I172" i="6"/>
  <c r="J172" i="6"/>
  <c r="K172" i="6"/>
  <c r="L172" i="6"/>
  <c r="M172" i="6"/>
  <c r="N172" i="6"/>
  <c r="O172" i="6"/>
  <c r="P172" i="6"/>
  <c r="S172" i="6"/>
  <c r="H173" i="6"/>
  <c r="I173" i="6"/>
  <c r="J173" i="6"/>
  <c r="K173" i="6"/>
  <c r="L173" i="6"/>
  <c r="M173" i="6"/>
  <c r="N173" i="6"/>
  <c r="O173" i="6"/>
  <c r="P173" i="6"/>
  <c r="S173" i="6"/>
  <c r="H174" i="6"/>
  <c r="I174" i="6"/>
  <c r="J174" i="6"/>
  <c r="K174" i="6"/>
  <c r="L174" i="6"/>
  <c r="M174" i="6"/>
  <c r="N174" i="6"/>
  <c r="O174" i="6"/>
  <c r="P174" i="6"/>
  <c r="S174" i="6"/>
  <c r="H175" i="6"/>
  <c r="I175" i="6"/>
  <c r="J175" i="6"/>
  <c r="K175" i="6"/>
  <c r="L175" i="6"/>
  <c r="M175" i="6"/>
  <c r="N175" i="6"/>
  <c r="O175" i="6"/>
  <c r="P175" i="6"/>
  <c r="S175" i="6"/>
  <c r="H176" i="6"/>
  <c r="I176" i="6"/>
  <c r="J176" i="6"/>
  <c r="K176" i="6"/>
  <c r="L176" i="6"/>
  <c r="M176" i="6"/>
  <c r="N176" i="6"/>
  <c r="O176" i="6"/>
  <c r="P176" i="6"/>
  <c r="S176" i="6"/>
  <c r="H177" i="6"/>
  <c r="I177" i="6"/>
  <c r="J177" i="6"/>
  <c r="K177" i="6"/>
  <c r="L177" i="6"/>
  <c r="M177" i="6"/>
  <c r="N177" i="6"/>
  <c r="O177" i="6"/>
  <c r="P177" i="6"/>
  <c r="S177" i="6"/>
  <c r="S178" i="6"/>
  <c r="H179" i="6"/>
  <c r="I179" i="6"/>
  <c r="J179" i="6"/>
  <c r="K179" i="6"/>
  <c r="L179" i="6"/>
  <c r="M179" i="6"/>
  <c r="N179" i="6"/>
  <c r="O179" i="6"/>
  <c r="P179" i="6"/>
  <c r="S179" i="6"/>
  <c r="S180" i="6"/>
  <c r="H181" i="6"/>
  <c r="I181" i="6"/>
  <c r="J181" i="6"/>
  <c r="K181" i="6"/>
  <c r="L181" i="6"/>
  <c r="M181" i="6"/>
  <c r="N181" i="6"/>
  <c r="O181" i="6"/>
  <c r="P181" i="6"/>
  <c r="S181" i="6"/>
  <c r="H182" i="6"/>
  <c r="I182" i="6"/>
  <c r="J182" i="6"/>
  <c r="K182" i="6"/>
  <c r="L182" i="6"/>
  <c r="M182" i="6"/>
  <c r="N182" i="6"/>
  <c r="O182" i="6"/>
  <c r="P182" i="6"/>
  <c r="S182" i="6"/>
  <c r="H183" i="6"/>
  <c r="I183" i="6"/>
  <c r="J183" i="6"/>
  <c r="K183" i="6"/>
  <c r="L183" i="6"/>
  <c r="M183" i="6"/>
  <c r="N183" i="6"/>
  <c r="O183" i="6"/>
  <c r="P183" i="6"/>
  <c r="S183" i="6"/>
  <c r="H184" i="6"/>
  <c r="I184" i="6"/>
  <c r="J184" i="6"/>
  <c r="K184" i="6"/>
  <c r="L184" i="6"/>
  <c r="M184" i="6"/>
  <c r="N184" i="6"/>
  <c r="O184" i="6"/>
  <c r="P184" i="6"/>
  <c r="S184" i="6"/>
  <c r="H185" i="6"/>
  <c r="I185" i="6"/>
  <c r="J185" i="6"/>
  <c r="K185" i="6"/>
  <c r="L185" i="6"/>
  <c r="M185" i="6"/>
  <c r="N185" i="6"/>
  <c r="O185" i="6"/>
  <c r="P185" i="6"/>
  <c r="S185" i="6"/>
  <c r="H186" i="6"/>
  <c r="I186" i="6"/>
  <c r="J186" i="6"/>
  <c r="K186" i="6"/>
  <c r="L186" i="6"/>
  <c r="M186" i="6"/>
  <c r="N186" i="6"/>
  <c r="O186" i="6"/>
  <c r="P186" i="6"/>
  <c r="S186" i="6"/>
  <c r="S187" i="6"/>
  <c r="H188" i="6"/>
  <c r="I188" i="6"/>
  <c r="J188" i="6"/>
  <c r="K188" i="6"/>
  <c r="L188" i="6"/>
  <c r="M188" i="6"/>
  <c r="N188" i="6"/>
  <c r="O188" i="6"/>
  <c r="P188" i="6"/>
  <c r="S188" i="6"/>
  <c r="H189" i="6"/>
  <c r="I189" i="6"/>
  <c r="J189" i="6"/>
  <c r="K189" i="6"/>
  <c r="L189" i="6"/>
  <c r="M189" i="6"/>
  <c r="N189" i="6"/>
  <c r="O189" i="6"/>
  <c r="P189" i="6"/>
  <c r="S189" i="6"/>
  <c r="S190" i="6"/>
  <c r="H191" i="6"/>
  <c r="I191" i="6"/>
  <c r="J191" i="6"/>
  <c r="K191" i="6"/>
  <c r="L191" i="6"/>
  <c r="M191" i="6"/>
  <c r="N191" i="6"/>
  <c r="O191" i="6"/>
  <c r="P191" i="6"/>
  <c r="S191" i="6"/>
  <c r="H192" i="6"/>
  <c r="I192" i="6"/>
  <c r="J192" i="6"/>
  <c r="K192" i="6"/>
  <c r="L192" i="6"/>
  <c r="M192" i="6"/>
  <c r="N192" i="6"/>
  <c r="O192" i="6"/>
  <c r="P192" i="6"/>
  <c r="S192" i="6"/>
  <c r="S193" i="6"/>
  <c r="H194" i="6"/>
  <c r="I194" i="6"/>
  <c r="J194" i="6"/>
  <c r="K194" i="6"/>
  <c r="L194" i="6"/>
  <c r="M194" i="6"/>
  <c r="N194" i="6"/>
  <c r="O194" i="6"/>
  <c r="P194" i="6"/>
  <c r="S194" i="6"/>
  <c r="H195" i="6"/>
  <c r="I195" i="6"/>
  <c r="J195" i="6"/>
  <c r="K195" i="6"/>
  <c r="L195" i="6"/>
  <c r="M195" i="6"/>
  <c r="N195" i="6"/>
  <c r="O195" i="6"/>
  <c r="P195" i="6"/>
  <c r="S195" i="6"/>
  <c r="H196" i="6"/>
  <c r="I196" i="6"/>
  <c r="J196" i="6"/>
  <c r="K196" i="6"/>
  <c r="L196" i="6"/>
  <c r="M196" i="6"/>
  <c r="N196" i="6"/>
  <c r="O196" i="6"/>
  <c r="P196" i="6"/>
  <c r="S196" i="6"/>
  <c r="H197" i="6"/>
  <c r="I197" i="6"/>
  <c r="J197" i="6"/>
  <c r="K197" i="6"/>
  <c r="L197" i="6"/>
  <c r="M197" i="6"/>
  <c r="N197" i="6"/>
  <c r="O197" i="6"/>
  <c r="P197" i="6"/>
  <c r="S197" i="6"/>
  <c r="S198" i="6"/>
  <c r="H199" i="6"/>
  <c r="I199" i="6"/>
  <c r="J199" i="6"/>
  <c r="K199" i="6"/>
  <c r="L199" i="6"/>
  <c r="M199" i="6"/>
  <c r="N199" i="6"/>
  <c r="O199" i="6"/>
  <c r="P199" i="6"/>
  <c r="S199" i="6"/>
  <c r="H200" i="6"/>
  <c r="I200" i="6"/>
  <c r="J200" i="6"/>
  <c r="K200" i="6"/>
  <c r="L200" i="6"/>
  <c r="M200" i="6"/>
  <c r="N200" i="6"/>
  <c r="O200" i="6"/>
  <c r="P200" i="6"/>
  <c r="S200" i="6"/>
  <c r="H201" i="6"/>
  <c r="I201" i="6"/>
  <c r="J201" i="6"/>
  <c r="K201" i="6"/>
  <c r="L201" i="6"/>
  <c r="M201" i="6"/>
  <c r="N201" i="6"/>
  <c r="O201" i="6"/>
  <c r="P201" i="6"/>
  <c r="S201" i="6"/>
  <c r="H202" i="6"/>
  <c r="I202" i="6"/>
  <c r="J202" i="6"/>
  <c r="K202" i="6"/>
  <c r="L202" i="6"/>
  <c r="M202" i="6"/>
  <c r="N202" i="6"/>
  <c r="O202" i="6"/>
  <c r="P202" i="6"/>
  <c r="S202" i="6"/>
  <c r="H203" i="6"/>
  <c r="I203" i="6"/>
  <c r="J203" i="6"/>
  <c r="K203" i="6"/>
  <c r="L203" i="6"/>
  <c r="M203" i="6"/>
  <c r="N203" i="6"/>
  <c r="O203" i="6"/>
  <c r="P203" i="6"/>
  <c r="S203" i="6"/>
  <c r="H204" i="6"/>
  <c r="I204" i="6"/>
  <c r="J204" i="6"/>
  <c r="K204" i="6"/>
  <c r="L204" i="6"/>
  <c r="M204" i="6"/>
  <c r="N204" i="6"/>
  <c r="O204" i="6"/>
  <c r="P204" i="6"/>
  <c r="S204" i="6"/>
  <c r="S205" i="6"/>
  <c r="H206" i="6"/>
  <c r="I206" i="6"/>
  <c r="J206" i="6"/>
  <c r="K206" i="6"/>
  <c r="L206" i="6"/>
  <c r="M206" i="6"/>
  <c r="N206" i="6"/>
  <c r="O206" i="6"/>
  <c r="P206" i="6"/>
  <c r="S206" i="6"/>
  <c r="H207" i="6"/>
  <c r="I207" i="6"/>
  <c r="J207" i="6"/>
  <c r="K207" i="6"/>
  <c r="L207" i="6"/>
  <c r="M207" i="6"/>
  <c r="N207" i="6"/>
  <c r="O207" i="6"/>
  <c r="P207" i="6"/>
  <c r="S207" i="6"/>
  <c r="H208" i="6"/>
  <c r="I208" i="6"/>
  <c r="J208" i="6"/>
  <c r="K208" i="6"/>
  <c r="L208" i="6"/>
  <c r="M208" i="6"/>
  <c r="N208" i="6"/>
  <c r="O208" i="6"/>
  <c r="P208" i="6"/>
  <c r="S208" i="6"/>
  <c r="H209" i="6"/>
  <c r="I209" i="6"/>
  <c r="J209" i="6"/>
  <c r="K209" i="6"/>
  <c r="L209" i="6"/>
  <c r="M209" i="6"/>
  <c r="N209" i="6"/>
  <c r="O209" i="6"/>
  <c r="P209" i="6"/>
  <c r="S209" i="6"/>
  <c r="H210" i="6"/>
  <c r="I210" i="6"/>
  <c r="J210" i="6"/>
  <c r="K210" i="6"/>
  <c r="L210" i="6"/>
  <c r="M210" i="6"/>
  <c r="N210" i="6"/>
  <c r="O210" i="6"/>
  <c r="P210" i="6"/>
  <c r="S210" i="6"/>
  <c r="H211" i="6"/>
  <c r="I211" i="6"/>
  <c r="J211" i="6"/>
  <c r="K211" i="6"/>
  <c r="L211" i="6"/>
  <c r="M211" i="6"/>
  <c r="N211" i="6"/>
  <c r="O211" i="6"/>
  <c r="P211" i="6"/>
  <c r="S211" i="6"/>
  <c r="H212" i="6"/>
  <c r="I212" i="6"/>
  <c r="J212" i="6"/>
  <c r="K212" i="6"/>
  <c r="L212" i="6"/>
  <c r="M212" i="6"/>
  <c r="N212" i="6"/>
  <c r="O212" i="6"/>
  <c r="P212" i="6"/>
  <c r="S212" i="6"/>
  <c r="H213" i="6"/>
  <c r="I213" i="6"/>
  <c r="J213" i="6"/>
  <c r="K213" i="6"/>
  <c r="L213" i="6"/>
  <c r="M213" i="6"/>
  <c r="N213" i="6"/>
  <c r="O213" i="6"/>
  <c r="P213" i="6"/>
  <c r="S213" i="6"/>
  <c r="H214" i="6"/>
  <c r="I214" i="6"/>
  <c r="J214" i="6"/>
  <c r="K214" i="6"/>
  <c r="L214" i="6"/>
  <c r="M214" i="6"/>
  <c r="N214" i="6"/>
  <c r="O214" i="6"/>
  <c r="P214" i="6"/>
  <c r="S214" i="6"/>
  <c r="H215" i="6"/>
  <c r="I215" i="6"/>
  <c r="J215" i="6"/>
  <c r="K215" i="6"/>
  <c r="L215" i="6"/>
  <c r="M215" i="6"/>
  <c r="N215" i="6"/>
  <c r="O215" i="6"/>
  <c r="P215" i="6"/>
  <c r="S215" i="6"/>
  <c r="H216" i="6"/>
  <c r="I216" i="6"/>
  <c r="J216" i="6"/>
  <c r="K216" i="6"/>
  <c r="L216" i="6"/>
  <c r="M216" i="6"/>
  <c r="N216" i="6"/>
  <c r="O216" i="6"/>
  <c r="P216" i="6"/>
  <c r="S216" i="6"/>
  <c r="H217" i="6"/>
  <c r="I217" i="6"/>
  <c r="J217" i="6"/>
  <c r="K217" i="6"/>
  <c r="L217" i="6"/>
  <c r="M217" i="6"/>
  <c r="N217" i="6"/>
  <c r="O217" i="6"/>
  <c r="P217" i="6"/>
  <c r="S217" i="6"/>
  <c r="H218" i="6"/>
  <c r="I218" i="6"/>
  <c r="J218" i="6"/>
  <c r="K218" i="6"/>
  <c r="L218" i="6"/>
  <c r="M218" i="6"/>
  <c r="N218" i="6"/>
  <c r="O218" i="6"/>
  <c r="P218" i="6"/>
  <c r="S218" i="6"/>
  <c r="H219" i="6"/>
  <c r="I219" i="6"/>
  <c r="J219" i="6"/>
  <c r="K219" i="6"/>
  <c r="L219" i="6"/>
  <c r="M219" i="6"/>
  <c r="N219" i="6"/>
  <c r="O219" i="6"/>
  <c r="P219" i="6"/>
  <c r="S219" i="6"/>
  <c r="H220" i="6"/>
  <c r="I220" i="6"/>
  <c r="J220" i="6"/>
  <c r="K220" i="6"/>
  <c r="L220" i="6"/>
  <c r="M220" i="6"/>
  <c r="N220" i="6"/>
  <c r="O220" i="6"/>
  <c r="P220" i="6"/>
  <c r="S220" i="6"/>
  <c r="H221" i="6"/>
  <c r="I221" i="6"/>
  <c r="J221" i="6"/>
  <c r="K221" i="6"/>
  <c r="L221" i="6"/>
  <c r="M221" i="6"/>
  <c r="N221" i="6"/>
  <c r="O221" i="6"/>
  <c r="P221" i="6"/>
  <c r="S221" i="6"/>
  <c r="S222" i="6"/>
  <c r="H223" i="6"/>
  <c r="I223" i="6"/>
  <c r="J223" i="6"/>
  <c r="K223" i="6"/>
  <c r="L223" i="6"/>
  <c r="M223" i="6"/>
  <c r="N223" i="6"/>
  <c r="O223" i="6"/>
  <c r="P223" i="6"/>
  <c r="S223" i="6"/>
  <c r="H224" i="6"/>
  <c r="I224" i="6"/>
  <c r="J224" i="6"/>
  <c r="K224" i="6"/>
  <c r="L224" i="6"/>
  <c r="M224" i="6"/>
  <c r="N224" i="6"/>
  <c r="O224" i="6"/>
  <c r="P224" i="6"/>
  <c r="S224" i="6"/>
  <c r="H225" i="6"/>
  <c r="I225" i="6"/>
  <c r="J225" i="6"/>
  <c r="K225" i="6"/>
  <c r="L225" i="6"/>
  <c r="M225" i="6"/>
  <c r="N225" i="6"/>
  <c r="O225" i="6"/>
  <c r="P225" i="6"/>
  <c r="S225" i="6"/>
  <c r="H226" i="6"/>
  <c r="I226" i="6"/>
  <c r="J226" i="6"/>
  <c r="K226" i="6"/>
  <c r="L226" i="6"/>
  <c r="M226" i="6"/>
  <c r="N226" i="6"/>
  <c r="O226" i="6"/>
  <c r="P226" i="6"/>
  <c r="S226" i="6"/>
  <c r="S227" i="6"/>
  <c r="H228" i="6"/>
  <c r="I228" i="6"/>
  <c r="J228" i="6"/>
  <c r="K228" i="6"/>
  <c r="L228" i="6"/>
  <c r="M228" i="6"/>
  <c r="N228" i="6"/>
  <c r="O228" i="6"/>
  <c r="P228" i="6"/>
  <c r="S228" i="6"/>
  <c r="H229" i="6"/>
  <c r="I229" i="6"/>
  <c r="J229" i="6"/>
  <c r="K229" i="6"/>
  <c r="L229" i="6"/>
  <c r="M229" i="6"/>
  <c r="N229" i="6"/>
  <c r="O229" i="6"/>
  <c r="P229" i="6"/>
  <c r="S229" i="6"/>
  <c r="H230" i="6"/>
  <c r="I230" i="6"/>
  <c r="J230" i="6"/>
  <c r="K230" i="6"/>
  <c r="L230" i="6"/>
  <c r="M230" i="6"/>
  <c r="N230" i="6"/>
  <c r="O230" i="6"/>
  <c r="P230" i="6"/>
  <c r="S230" i="6"/>
  <c r="H231" i="6"/>
  <c r="I231" i="6"/>
  <c r="J231" i="6"/>
  <c r="K231" i="6"/>
  <c r="L231" i="6"/>
  <c r="M231" i="6"/>
  <c r="N231" i="6"/>
  <c r="O231" i="6"/>
  <c r="P231" i="6"/>
  <c r="S231" i="6"/>
  <c r="H232" i="6"/>
  <c r="I232" i="6"/>
  <c r="J232" i="6"/>
  <c r="K232" i="6"/>
  <c r="L232" i="6"/>
  <c r="M232" i="6"/>
  <c r="N232" i="6"/>
  <c r="O232" i="6"/>
  <c r="P232" i="6"/>
  <c r="S232" i="6"/>
  <c r="H233" i="6"/>
  <c r="I233" i="6"/>
  <c r="J233" i="6"/>
  <c r="K233" i="6"/>
  <c r="L233" i="6"/>
  <c r="M233" i="6"/>
  <c r="N233" i="6"/>
  <c r="O233" i="6"/>
  <c r="P233" i="6"/>
  <c r="S233" i="6"/>
  <c r="H234" i="6"/>
  <c r="I234" i="6"/>
  <c r="J234" i="6"/>
  <c r="K234" i="6"/>
  <c r="L234" i="6"/>
  <c r="M234" i="6"/>
  <c r="N234" i="6"/>
  <c r="O234" i="6"/>
  <c r="P234" i="6"/>
  <c r="S234" i="6"/>
  <c r="H235" i="6"/>
  <c r="I235" i="6"/>
  <c r="J235" i="6"/>
  <c r="K235" i="6"/>
  <c r="L235" i="6"/>
  <c r="M235" i="6"/>
  <c r="N235" i="6"/>
  <c r="O235" i="6"/>
  <c r="P235" i="6"/>
  <c r="S235" i="6"/>
  <c r="H236" i="6"/>
  <c r="I236" i="6"/>
  <c r="J236" i="6"/>
  <c r="K236" i="6"/>
  <c r="L236" i="6"/>
  <c r="M236" i="6"/>
  <c r="N236" i="6"/>
  <c r="O236" i="6"/>
  <c r="P236" i="6"/>
  <c r="S236" i="6"/>
  <c r="H237" i="6"/>
  <c r="I237" i="6"/>
  <c r="J237" i="6"/>
  <c r="K237" i="6"/>
  <c r="L237" i="6"/>
  <c r="M237" i="6"/>
  <c r="N237" i="6"/>
  <c r="O237" i="6"/>
  <c r="P237" i="6"/>
  <c r="S237" i="6"/>
  <c r="H238" i="6"/>
  <c r="I238" i="6"/>
  <c r="J238" i="6"/>
  <c r="K238" i="6"/>
  <c r="L238" i="6"/>
  <c r="M238" i="6"/>
  <c r="N238" i="6"/>
  <c r="O238" i="6"/>
  <c r="P238" i="6"/>
  <c r="S238" i="6"/>
  <c r="H239" i="6"/>
  <c r="I239" i="6"/>
  <c r="J239" i="6"/>
  <c r="K239" i="6"/>
  <c r="L239" i="6"/>
  <c r="M239" i="6"/>
  <c r="N239" i="6"/>
  <c r="O239" i="6"/>
  <c r="P239" i="6"/>
  <c r="S239" i="6"/>
  <c r="H240" i="6"/>
  <c r="I240" i="6"/>
  <c r="J240" i="6"/>
  <c r="K240" i="6"/>
  <c r="L240" i="6"/>
  <c r="M240" i="6"/>
  <c r="N240" i="6"/>
  <c r="O240" i="6"/>
  <c r="P240" i="6"/>
  <c r="S240" i="6"/>
  <c r="H241" i="6"/>
  <c r="I241" i="6"/>
  <c r="J241" i="6"/>
  <c r="K241" i="6"/>
  <c r="L241" i="6"/>
  <c r="M241" i="6"/>
  <c r="N241" i="6"/>
  <c r="O241" i="6"/>
  <c r="P241" i="6"/>
  <c r="S241" i="6"/>
  <c r="H242" i="6"/>
  <c r="I242" i="6"/>
  <c r="J242" i="6"/>
  <c r="K242" i="6"/>
  <c r="L242" i="6"/>
  <c r="M242" i="6"/>
  <c r="N242" i="6"/>
  <c r="O242" i="6"/>
  <c r="P242" i="6"/>
  <c r="S242" i="6"/>
  <c r="H243" i="6"/>
  <c r="I243" i="6"/>
  <c r="J243" i="6"/>
  <c r="K243" i="6"/>
  <c r="L243" i="6"/>
  <c r="M243" i="6"/>
  <c r="N243" i="6"/>
  <c r="O243" i="6"/>
  <c r="P243" i="6"/>
  <c r="S243" i="6"/>
  <c r="H244" i="6"/>
  <c r="I244" i="6"/>
  <c r="J244" i="6"/>
  <c r="K244" i="6"/>
  <c r="L244" i="6"/>
  <c r="M244" i="6"/>
  <c r="N244" i="6"/>
  <c r="O244" i="6"/>
  <c r="P244" i="6"/>
  <c r="S244" i="6"/>
  <c r="H245" i="6"/>
  <c r="I245" i="6"/>
  <c r="J245" i="6"/>
  <c r="K245" i="6"/>
  <c r="L245" i="6"/>
  <c r="M245" i="6"/>
  <c r="N245" i="6"/>
  <c r="O245" i="6"/>
  <c r="P245" i="6"/>
  <c r="S245" i="6"/>
  <c r="H246" i="6"/>
  <c r="I246" i="6"/>
  <c r="J246" i="6"/>
  <c r="K246" i="6"/>
  <c r="L246" i="6"/>
  <c r="M246" i="6"/>
  <c r="N246" i="6"/>
  <c r="O246" i="6"/>
  <c r="P246" i="6"/>
  <c r="S246" i="6"/>
  <c r="S247" i="6"/>
  <c r="H248" i="6"/>
  <c r="I248" i="6"/>
  <c r="J248" i="6"/>
  <c r="K248" i="6"/>
  <c r="L248" i="6"/>
  <c r="M248" i="6"/>
  <c r="N248" i="6"/>
  <c r="O248" i="6"/>
  <c r="P248" i="6"/>
  <c r="S248" i="6"/>
  <c r="H249" i="6"/>
  <c r="I249" i="6"/>
  <c r="J249" i="6"/>
  <c r="K249" i="6"/>
  <c r="L249" i="6"/>
  <c r="M249" i="6"/>
  <c r="N249" i="6"/>
  <c r="O249" i="6"/>
  <c r="P249" i="6"/>
  <c r="S249" i="6"/>
  <c r="H250" i="6"/>
  <c r="I250" i="6"/>
  <c r="J250" i="6"/>
  <c r="K250" i="6"/>
  <c r="L250" i="6"/>
  <c r="M250" i="6"/>
  <c r="N250" i="6"/>
  <c r="O250" i="6"/>
  <c r="P250" i="6"/>
  <c r="S250" i="6"/>
  <c r="H251" i="6"/>
  <c r="I251" i="6"/>
  <c r="J251" i="6"/>
  <c r="K251" i="6"/>
  <c r="L251" i="6"/>
  <c r="M251" i="6"/>
  <c r="N251" i="6"/>
  <c r="O251" i="6"/>
  <c r="P251" i="6"/>
  <c r="S251" i="6"/>
  <c r="H252" i="6"/>
  <c r="I252" i="6"/>
  <c r="J252" i="6"/>
  <c r="K252" i="6"/>
  <c r="L252" i="6"/>
  <c r="M252" i="6"/>
  <c r="N252" i="6"/>
  <c r="O252" i="6"/>
  <c r="P252" i="6"/>
  <c r="S252" i="6"/>
  <c r="H253" i="6"/>
  <c r="I253" i="6"/>
  <c r="J253" i="6"/>
  <c r="K253" i="6"/>
  <c r="L253" i="6"/>
  <c r="M253" i="6"/>
  <c r="N253" i="6"/>
  <c r="O253" i="6"/>
  <c r="P253" i="6"/>
  <c r="S253" i="6"/>
  <c r="H254" i="6"/>
  <c r="I254" i="6"/>
  <c r="J254" i="6"/>
  <c r="K254" i="6"/>
  <c r="L254" i="6"/>
  <c r="M254" i="6"/>
  <c r="N254" i="6"/>
  <c r="O254" i="6"/>
  <c r="P254" i="6"/>
  <c r="S254" i="6"/>
  <c r="H255" i="6"/>
  <c r="I255" i="6"/>
  <c r="J255" i="6"/>
  <c r="K255" i="6"/>
  <c r="L255" i="6"/>
  <c r="M255" i="6"/>
  <c r="N255" i="6"/>
  <c r="O255" i="6"/>
  <c r="P255" i="6"/>
  <c r="S255" i="6"/>
  <c r="H256" i="6"/>
  <c r="I256" i="6"/>
  <c r="J256" i="6"/>
  <c r="K256" i="6"/>
  <c r="L256" i="6"/>
  <c r="M256" i="6"/>
  <c r="N256" i="6"/>
  <c r="O256" i="6"/>
  <c r="P256" i="6"/>
  <c r="S256" i="6"/>
  <c r="H257" i="6"/>
  <c r="I257" i="6"/>
  <c r="J257" i="6"/>
  <c r="K257" i="6"/>
  <c r="L257" i="6"/>
  <c r="M257" i="6"/>
  <c r="N257" i="6"/>
  <c r="O257" i="6"/>
  <c r="P257" i="6"/>
  <c r="S257" i="6"/>
  <c r="H258" i="6"/>
  <c r="I258" i="6"/>
  <c r="J258" i="6"/>
  <c r="K258" i="6"/>
  <c r="L258" i="6"/>
  <c r="M258" i="6"/>
  <c r="N258" i="6"/>
  <c r="O258" i="6"/>
  <c r="P258" i="6"/>
  <c r="S258" i="6"/>
  <c r="H259" i="6"/>
  <c r="I259" i="6"/>
  <c r="J259" i="6"/>
  <c r="K259" i="6"/>
  <c r="L259" i="6"/>
  <c r="M259" i="6"/>
  <c r="N259" i="6"/>
  <c r="O259" i="6"/>
  <c r="P259" i="6"/>
  <c r="S259" i="6"/>
  <c r="H260" i="6"/>
  <c r="I260" i="6"/>
  <c r="J260" i="6"/>
  <c r="K260" i="6"/>
  <c r="L260" i="6"/>
  <c r="M260" i="6"/>
  <c r="N260" i="6"/>
  <c r="O260" i="6"/>
  <c r="P260" i="6"/>
  <c r="S260" i="6"/>
  <c r="H261" i="6"/>
  <c r="I261" i="6"/>
  <c r="J261" i="6"/>
  <c r="K261" i="6"/>
  <c r="L261" i="6"/>
  <c r="M261" i="6"/>
  <c r="N261" i="6"/>
  <c r="O261" i="6"/>
  <c r="P261" i="6"/>
  <c r="S261" i="6"/>
  <c r="H262" i="6"/>
  <c r="I262" i="6"/>
  <c r="J262" i="6"/>
  <c r="K262" i="6"/>
  <c r="L262" i="6"/>
  <c r="M262" i="6"/>
  <c r="N262" i="6"/>
  <c r="O262" i="6"/>
  <c r="P262" i="6"/>
  <c r="S262" i="6"/>
  <c r="H263" i="6"/>
  <c r="I263" i="6"/>
  <c r="J263" i="6"/>
  <c r="K263" i="6"/>
  <c r="L263" i="6"/>
  <c r="M263" i="6"/>
  <c r="N263" i="6"/>
  <c r="O263" i="6"/>
  <c r="P263" i="6"/>
  <c r="S263" i="6"/>
  <c r="H264" i="6"/>
  <c r="I264" i="6"/>
  <c r="J264" i="6"/>
  <c r="K264" i="6"/>
  <c r="L264" i="6"/>
  <c r="M264" i="6"/>
  <c r="N264" i="6"/>
  <c r="O264" i="6"/>
  <c r="P264" i="6"/>
  <c r="S264" i="6"/>
  <c r="S265" i="6"/>
  <c r="H266" i="6"/>
  <c r="I266" i="6"/>
  <c r="J266" i="6"/>
  <c r="K266" i="6"/>
  <c r="L266" i="6"/>
  <c r="M266" i="6"/>
  <c r="N266" i="6"/>
  <c r="O266" i="6"/>
  <c r="P266" i="6"/>
  <c r="S266" i="6"/>
  <c r="S267" i="6"/>
  <c r="S268" i="6"/>
  <c r="H269" i="6"/>
  <c r="I269" i="6"/>
  <c r="J269" i="6"/>
  <c r="K269" i="6"/>
  <c r="L269" i="6"/>
  <c r="M269" i="6"/>
  <c r="N269" i="6"/>
  <c r="O269" i="6"/>
  <c r="P269" i="6"/>
  <c r="S269" i="6"/>
  <c r="H270" i="6"/>
  <c r="I270" i="6"/>
  <c r="J270" i="6"/>
  <c r="K270" i="6"/>
  <c r="L270" i="6"/>
  <c r="M270" i="6"/>
  <c r="N270" i="6"/>
  <c r="O270" i="6"/>
  <c r="P270" i="6"/>
  <c r="S270" i="6"/>
  <c r="H271" i="6"/>
  <c r="I271" i="6"/>
  <c r="J271" i="6"/>
  <c r="K271" i="6"/>
  <c r="L271" i="6"/>
  <c r="M271" i="6"/>
  <c r="N271" i="6"/>
  <c r="O271" i="6"/>
  <c r="P271" i="6"/>
  <c r="S271" i="6"/>
  <c r="H272" i="6"/>
  <c r="I272" i="6"/>
  <c r="J272" i="6"/>
  <c r="K272" i="6"/>
  <c r="L272" i="6"/>
  <c r="M272" i="6"/>
  <c r="N272" i="6"/>
  <c r="O272" i="6"/>
  <c r="P272" i="6"/>
  <c r="S272" i="6"/>
  <c r="H273" i="6"/>
  <c r="I273" i="6"/>
  <c r="J273" i="6"/>
  <c r="K273" i="6"/>
  <c r="L273" i="6"/>
  <c r="M273" i="6"/>
  <c r="N273" i="6"/>
  <c r="O273" i="6"/>
  <c r="P273" i="6"/>
  <c r="S273" i="6"/>
  <c r="H274" i="6"/>
  <c r="I274" i="6"/>
  <c r="J274" i="6"/>
  <c r="K274" i="6"/>
  <c r="L274" i="6"/>
  <c r="M274" i="6"/>
  <c r="N274" i="6"/>
  <c r="O274" i="6"/>
  <c r="P274" i="6"/>
  <c r="S274" i="6"/>
  <c r="H275" i="6"/>
  <c r="I275" i="6"/>
  <c r="J275" i="6"/>
  <c r="K275" i="6"/>
  <c r="L275" i="6"/>
  <c r="M275" i="6"/>
  <c r="N275" i="6"/>
  <c r="O275" i="6"/>
  <c r="P275" i="6"/>
  <c r="S275" i="6"/>
  <c r="H276" i="6"/>
  <c r="I276" i="6"/>
  <c r="J276" i="6"/>
  <c r="K276" i="6"/>
  <c r="L276" i="6"/>
  <c r="M276" i="6"/>
  <c r="N276" i="6"/>
  <c r="O276" i="6"/>
  <c r="P276" i="6"/>
  <c r="S276" i="6"/>
  <c r="S277" i="6"/>
  <c r="H278" i="6"/>
  <c r="I278" i="6"/>
  <c r="J278" i="6"/>
  <c r="K278" i="6"/>
  <c r="L278" i="6"/>
  <c r="M278" i="6"/>
  <c r="N278" i="6"/>
  <c r="O278" i="6"/>
  <c r="P278" i="6"/>
  <c r="S278" i="6"/>
  <c r="H279" i="6"/>
  <c r="I279" i="6"/>
  <c r="J279" i="6"/>
  <c r="K279" i="6"/>
  <c r="L279" i="6"/>
  <c r="M279" i="6"/>
  <c r="N279" i="6"/>
  <c r="O279" i="6"/>
  <c r="P279" i="6"/>
  <c r="S279" i="6"/>
  <c r="H280" i="6"/>
  <c r="I280" i="6"/>
  <c r="J280" i="6"/>
  <c r="K280" i="6"/>
  <c r="L280" i="6"/>
  <c r="M280" i="6"/>
  <c r="N280" i="6"/>
  <c r="O280" i="6"/>
  <c r="P280" i="6"/>
  <c r="S280" i="6"/>
  <c r="H281" i="6"/>
  <c r="I281" i="6"/>
  <c r="J281" i="6"/>
  <c r="K281" i="6"/>
  <c r="L281" i="6"/>
  <c r="M281" i="6"/>
  <c r="N281" i="6"/>
  <c r="O281" i="6"/>
  <c r="P281" i="6"/>
  <c r="S281" i="6"/>
  <c r="S282" i="6"/>
  <c r="H283" i="6"/>
  <c r="I283" i="6"/>
  <c r="J283" i="6"/>
  <c r="K283" i="6"/>
  <c r="L283" i="6"/>
  <c r="M283" i="6"/>
  <c r="N283" i="6"/>
  <c r="O283" i="6"/>
  <c r="P283" i="6"/>
  <c r="S283" i="6"/>
  <c r="S284" i="6"/>
  <c r="H285" i="6"/>
  <c r="I285" i="6"/>
  <c r="J285" i="6"/>
  <c r="K285" i="6"/>
  <c r="L285" i="6"/>
  <c r="M285" i="6"/>
  <c r="N285" i="6"/>
  <c r="O285" i="6"/>
  <c r="P285" i="6"/>
  <c r="S285" i="6"/>
  <c r="H286" i="6"/>
  <c r="I286" i="6"/>
  <c r="J286" i="6"/>
  <c r="K286" i="6"/>
  <c r="L286" i="6"/>
  <c r="M286" i="6"/>
  <c r="N286" i="6"/>
  <c r="O286" i="6"/>
  <c r="P286" i="6"/>
  <c r="S286" i="6"/>
  <c r="H287" i="6"/>
  <c r="I287" i="6"/>
  <c r="J287" i="6"/>
  <c r="K287" i="6"/>
  <c r="L287" i="6"/>
  <c r="M287" i="6"/>
  <c r="N287" i="6"/>
  <c r="O287" i="6"/>
  <c r="P287" i="6"/>
  <c r="S287" i="6"/>
  <c r="H288" i="6"/>
  <c r="I288" i="6"/>
  <c r="J288" i="6"/>
  <c r="K288" i="6"/>
  <c r="L288" i="6"/>
  <c r="M288" i="6"/>
  <c r="N288" i="6"/>
  <c r="O288" i="6"/>
  <c r="P288" i="6"/>
  <c r="S288" i="6"/>
  <c r="H289" i="6"/>
  <c r="I289" i="6"/>
  <c r="J289" i="6"/>
  <c r="K289" i="6"/>
  <c r="L289" i="6"/>
  <c r="M289" i="6"/>
  <c r="N289" i="6"/>
  <c r="O289" i="6"/>
  <c r="P289" i="6"/>
  <c r="S289" i="6"/>
  <c r="S290" i="6"/>
  <c r="H291" i="6"/>
  <c r="I291" i="6"/>
  <c r="J291" i="6"/>
  <c r="K291" i="6"/>
  <c r="L291" i="6"/>
  <c r="M291" i="6"/>
  <c r="N291" i="6"/>
  <c r="O291" i="6"/>
  <c r="P291" i="6"/>
  <c r="S291" i="6"/>
  <c r="S292" i="6"/>
  <c r="S293" i="6"/>
  <c r="H294" i="6"/>
  <c r="I294" i="6"/>
  <c r="J294" i="6"/>
  <c r="K294" i="6"/>
  <c r="L294" i="6"/>
  <c r="M294" i="6"/>
  <c r="N294" i="6"/>
  <c r="O294" i="6"/>
  <c r="P294" i="6"/>
  <c r="S294" i="6"/>
  <c r="S295" i="6"/>
  <c r="S296" i="6"/>
  <c r="H297" i="6"/>
  <c r="I297" i="6"/>
  <c r="J297" i="6"/>
  <c r="K297" i="6"/>
  <c r="L297" i="6"/>
  <c r="M297" i="6"/>
  <c r="N297" i="6"/>
  <c r="O297" i="6"/>
  <c r="P297" i="6"/>
  <c r="S297" i="6"/>
  <c r="H298" i="6"/>
  <c r="I298" i="6"/>
  <c r="J298" i="6"/>
  <c r="K298" i="6"/>
  <c r="L298" i="6"/>
  <c r="M298" i="6"/>
  <c r="N298" i="6"/>
  <c r="O298" i="6"/>
  <c r="P298" i="6"/>
  <c r="S298" i="6"/>
  <c r="S299" i="6"/>
  <c r="S300" i="6"/>
  <c r="S301" i="6"/>
  <c r="H302" i="6"/>
  <c r="I302" i="6"/>
  <c r="J302" i="6"/>
  <c r="K302" i="6"/>
  <c r="L302" i="6"/>
  <c r="M302" i="6"/>
  <c r="N302" i="6"/>
  <c r="O302" i="6"/>
  <c r="P302" i="6"/>
  <c r="S302" i="6"/>
  <c r="H303" i="6"/>
  <c r="I303" i="6"/>
  <c r="J303" i="6"/>
  <c r="K303" i="6"/>
  <c r="L303" i="6"/>
  <c r="M303" i="6"/>
  <c r="N303" i="6"/>
  <c r="O303" i="6"/>
  <c r="P303" i="6"/>
  <c r="S303" i="6"/>
  <c r="S304" i="6"/>
  <c r="H305" i="6"/>
  <c r="I305" i="6"/>
  <c r="J305" i="6"/>
  <c r="K305" i="6"/>
  <c r="L305" i="6"/>
  <c r="M305" i="6"/>
  <c r="N305" i="6"/>
  <c r="O305" i="6"/>
  <c r="P305" i="6"/>
  <c r="S305" i="6"/>
  <c r="S306" i="6"/>
  <c r="H307" i="6"/>
  <c r="I307" i="6"/>
  <c r="J307" i="6"/>
  <c r="K307" i="6"/>
  <c r="L307" i="6"/>
  <c r="M307" i="6"/>
  <c r="N307" i="6"/>
  <c r="O307" i="6"/>
  <c r="P307" i="6"/>
  <c r="S307" i="6"/>
  <c r="H308" i="6"/>
  <c r="I308" i="6"/>
  <c r="J308" i="6"/>
  <c r="K308" i="6"/>
  <c r="L308" i="6"/>
  <c r="M308" i="6"/>
  <c r="N308" i="6"/>
  <c r="O308" i="6"/>
  <c r="P308" i="6"/>
  <c r="S308" i="6"/>
  <c r="H309" i="6"/>
  <c r="I309" i="6"/>
  <c r="J309" i="6"/>
  <c r="K309" i="6"/>
  <c r="L309" i="6"/>
  <c r="M309" i="6"/>
  <c r="N309" i="6"/>
  <c r="O309" i="6"/>
  <c r="P309" i="6"/>
  <c r="S309" i="6"/>
  <c r="H310" i="6"/>
  <c r="I310" i="6"/>
  <c r="J310" i="6"/>
  <c r="K310" i="6"/>
  <c r="L310" i="6"/>
  <c r="M310" i="6"/>
  <c r="N310" i="6"/>
  <c r="O310" i="6"/>
  <c r="P310" i="6"/>
  <c r="S310" i="6"/>
  <c r="H311" i="6"/>
  <c r="I311" i="6"/>
  <c r="J311" i="6"/>
  <c r="K311" i="6"/>
  <c r="L311" i="6"/>
  <c r="M311" i="6"/>
  <c r="N311" i="6"/>
  <c r="O311" i="6"/>
  <c r="P311" i="6"/>
  <c r="S311" i="6"/>
  <c r="H312" i="6"/>
  <c r="I312" i="6"/>
  <c r="J312" i="6"/>
  <c r="K312" i="6"/>
  <c r="L312" i="6"/>
  <c r="M312" i="6"/>
  <c r="N312" i="6"/>
  <c r="O312" i="6"/>
  <c r="P312" i="6"/>
  <c r="S312" i="6"/>
  <c r="H313" i="6"/>
  <c r="I313" i="6"/>
  <c r="J313" i="6"/>
  <c r="K313" i="6"/>
  <c r="L313" i="6"/>
  <c r="M313" i="6"/>
  <c r="N313" i="6"/>
  <c r="O313" i="6"/>
  <c r="P313" i="6"/>
  <c r="S313" i="6"/>
  <c r="H314" i="6"/>
  <c r="I314" i="6"/>
  <c r="J314" i="6"/>
  <c r="K314" i="6"/>
  <c r="L314" i="6"/>
  <c r="M314" i="6"/>
  <c r="N314" i="6"/>
  <c r="O314" i="6"/>
  <c r="P314" i="6"/>
  <c r="S314" i="6"/>
  <c r="H315" i="6"/>
  <c r="I315" i="6"/>
  <c r="J315" i="6"/>
  <c r="K315" i="6"/>
  <c r="L315" i="6"/>
  <c r="M315" i="6"/>
  <c r="N315" i="6"/>
  <c r="O315" i="6"/>
  <c r="P315" i="6"/>
  <c r="S315" i="6"/>
  <c r="S316" i="6"/>
  <c r="H317" i="6"/>
  <c r="I317" i="6"/>
  <c r="J317" i="6"/>
  <c r="K317" i="6"/>
  <c r="L317" i="6"/>
  <c r="M317" i="6"/>
  <c r="N317" i="6"/>
  <c r="O317" i="6"/>
  <c r="P317" i="6"/>
  <c r="S317" i="6"/>
  <c r="H318" i="6"/>
  <c r="I318" i="6"/>
  <c r="J318" i="6"/>
  <c r="K318" i="6"/>
  <c r="L318" i="6"/>
  <c r="M318" i="6"/>
  <c r="N318" i="6"/>
  <c r="O318" i="6"/>
  <c r="P318" i="6"/>
  <c r="S318" i="6"/>
  <c r="H319" i="6"/>
  <c r="I319" i="6"/>
  <c r="J319" i="6"/>
  <c r="K319" i="6"/>
  <c r="L319" i="6"/>
  <c r="M319" i="6"/>
  <c r="N319" i="6"/>
  <c r="O319" i="6"/>
  <c r="P319" i="6"/>
  <c r="S319" i="6"/>
  <c r="H320" i="6"/>
  <c r="I320" i="6"/>
  <c r="J320" i="6"/>
  <c r="K320" i="6"/>
  <c r="L320" i="6"/>
  <c r="M320" i="6"/>
  <c r="N320" i="6"/>
  <c r="O320" i="6"/>
  <c r="P320" i="6"/>
  <c r="S320" i="6"/>
  <c r="H321" i="6"/>
  <c r="I321" i="6"/>
  <c r="J321" i="6"/>
  <c r="K321" i="6"/>
  <c r="L321" i="6"/>
  <c r="M321" i="6"/>
  <c r="N321" i="6"/>
  <c r="O321" i="6"/>
  <c r="P321" i="6"/>
  <c r="S321" i="6"/>
  <c r="H322" i="6"/>
  <c r="I322" i="6"/>
  <c r="J322" i="6"/>
  <c r="K322" i="6"/>
  <c r="L322" i="6"/>
  <c r="M322" i="6"/>
  <c r="N322" i="6"/>
  <c r="O322" i="6"/>
  <c r="P322" i="6"/>
  <c r="S322" i="6"/>
  <c r="H323" i="6"/>
  <c r="I323" i="6"/>
  <c r="J323" i="6"/>
  <c r="K323" i="6"/>
  <c r="L323" i="6"/>
  <c r="M323" i="6"/>
  <c r="N323" i="6"/>
  <c r="O323" i="6"/>
  <c r="P323" i="6"/>
  <c r="S323" i="6"/>
  <c r="H324" i="6"/>
  <c r="I324" i="6"/>
  <c r="J324" i="6"/>
  <c r="K324" i="6"/>
  <c r="L324" i="6"/>
  <c r="M324" i="6"/>
  <c r="N324" i="6"/>
  <c r="O324" i="6"/>
  <c r="P324" i="6"/>
  <c r="S324" i="6"/>
  <c r="H325" i="6"/>
  <c r="I325" i="6"/>
  <c r="J325" i="6"/>
  <c r="K325" i="6"/>
  <c r="L325" i="6"/>
  <c r="M325" i="6"/>
  <c r="N325" i="6"/>
  <c r="O325" i="6"/>
  <c r="P325" i="6"/>
  <c r="S325" i="6"/>
  <c r="H326" i="6"/>
  <c r="I326" i="6"/>
  <c r="J326" i="6"/>
  <c r="K326" i="6"/>
  <c r="L326" i="6"/>
  <c r="M326" i="6"/>
  <c r="N326" i="6"/>
  <c r="O326" i="6"/>
  <c r="P326" i="6"/>
  <c r="S326" i="6"/>
  <c r="H327" i="6"/>
  <c r="I327" i="6"/>
  <c r="J327" i="6"/>
  <c r="K327" i="6"/>
  <c r="L327" i="6"/>
  <c r="M327" i="6"/>
  <c r="N327" i="6"/>
  <c r="O327" i="6"/>
  <c r="P327" i="6"/>
  <c r="S327" i="6"/>
  <c r="H328" i="6"/>
  <c r="I328" i="6"/>
  <c r="J328" i="6"/>
  <c r="K328" i="6"/>
  <c r="L328" i="6"/>
  <c r="M328" i="6"/>
  <c r="N328" i="6"/>
  <c r="O328" i="6"/>
  <c r="P328" i="6"/>
  <c r="S328" i="6"/>
  <c r="S329" i="6"/>
  <c r="S330" i="6"/>
  <c r="S331" i="6"/>
  <c r="S332" i="6"/>
  <c r="S333" i="6"/>
  <c r="S334" i="6"/>
  <c r="S335" i="6"/>
  <c r="S336" i="6"/>
  <c r="S337" i="6"/>
  <c r="S338" i="6"/>
  <c r="S339" i="6"/>
  <c r="S340" i="6"/>
  <c r="S341" i="6"/>
  <c r="S342" i="6"/>
  <c r="S343" i="6"/>
  <c r="S344" i="6"/>
  <c r="S345" i="6"/>
  <c r="S346" i="6"/>
  <c r="S347" i="6"/>
  <c r="H348" i="6"/>
  <c r="I348" i="6"/>
  <c r="J348" i="6"/>
  <c r="K348" i="6"/>
  <c r="L348" i="6"/>
  <c r="M348" i="6"/>
  <c r="N348" i="6"/>
  <c r="O348" i="6"/>
  <c r="P348" i="6"/>
  <c r="S348" i="6"/>
  <c r="S349" i="6"/>
  <c r="S350" i="6"/>
  <c r="H351" i="6"/>
  <c r="I351" i="6"/>
  <c r="J351" i="6"/>
  <c r="K351" i="6"/>
  <c r="L351" i="6"/>
  <c r="M351" i="6"/>
  <c r="N351" i="6"/>
  <c r="O351" i="6"/>
  <c r="P351" i="6"/>
  <c r="S351" i="6"/>
  <c r="H352" i="6"/>
  <c r="I352" i="6"/>
  <c r="J352" i="6"/>
  <c r="K352" i="6"/>
  <c r="L352" i="6"/>
  <c r="M352" i="6"/>
  <c r="N352" i="6"/>
  <c r="O352" i="6"/>
  <c r="P352" i="6"/>
  <c r="S352" i="6"/>
  <c r="S353" i="6"/>
  <c r="S354" i="6"/>
  <c r="H355" i="6"/>
  <c r="I355" i="6"/>
  <c r="J355" i="6"/>
  <c r="K355" i="6"/>
  <c r="L355" i="6"/>
  <c r="M355" i="6"/>
  <c r="N355" i="6"/>
  <c r="O355" i="6"/>
  <c r="P355" i="6"/>
  <c r="S355" i="6"/>
  <c r="H356" i="6"/>
  <c r="I356" i="6"/>
  <c r="J356" i="6"/>
  <c r="K356" i="6"/>
  <c r="L356" i="6"/>
  <c r="M356" i="6"/>
  <c r="N356" i="6"/>
  <c r="O356" i="6"/>
  <c r="P356" i="6"/>
  <c r="S356" i="6"/>
  <c r="H357" i="6"/>
  <c r="I357" i="6"/>
  <c r="J357" i="6"/>
  <c r="K357" i="6"/>
  <c r="L357" i="6"/>
  <c r="M357" i="6"/>
  <c r="N357" i="6"/>
  <c r="O357" i="6"/>
  <c r="P357" i="6"/>
  <c r="S357" i="6"/>
  <c r="H358" i="6"/>
  <c r="I358" i="6"/>
  <c r="J358" i="6"/>
  <c r="K358" i="6"/>
  <c r="L358" i="6"/>
  <c r="M358" i="6"/>
  <c r="N358" i="6"/>
  <c r="O358" i="6"/>
  <c r="P358" i="6"/>
  <c r="S358" i="6"/>
  <c r="S359" i="6"/>
  <c r="H360" i="6"/>
  <c r="I360" i="6"/>
  <c r="J360" i="6"/>
  <c r="K360" i="6"/>
  <c r="L360" i="6"/>
  <c r="M360" i="6"/>
  <c r="N360" i="6"/>
  <c r="O360" i="6"/>
  <c r="P360" i="6"/>
  <c r="S360" i="6"/>
  <c r="H361" i="6"/>
  <c r="I361" i="6"/>
  <c r="J361" i="6"/>
  <c r="K361" i="6"/>
  <c r="L361" i="6"/>
  <c r="M361" i="6"/>
  <c r="N361" i="6"/>
  <c r="O361" i="6"/>
  <c r="P361" i="6"/>
  <c r="S361" i="6"/>
  <c r="H366" i="6"/>
  <c r="I366" i="6"/>
  <c r="J366" i="6"/>
  <c r="K366" i="6"/>
  <c r="L366" i="6"/>
  <c r="M366" i="6"/>
  <c r="N366" i="6"/>
  <c r="O366" i="6"/>
  <c r="P366" i="6"/>
  <c r="S366" i="6"/>
  <c r="H367" i="6"/>
  <c r="I367" i="6"/>
  <c r="J367" i="6"/>
  <c r="K367" i="6"/>
  <c r="L367" i="6"/>
  <c r="M367" i="6"/>
  <c r="N367" i="6"/>
  <c r="O367" i="6"/>
  <c r="P367" i="6"/>
  <c r="S367" i="6"/>
  <c r="H369" i="6"/>
  <c r="I369" i="6"/>
  <c r="J369" i="6"/>
  <c r="K369" i="6"/>
  <c r="L369" i="6"/>
  <c r="M369" i="6"/>
  <c r="N369" i="6"/>
  <c r="O369" i="6"/>
  <c r="P369" i="6"/>
  <c r="S369" i="6"/>
  <c r="H370" i="6"/>
  <c r="I370" i="6"/>
  <c r="J370" i="6"/>
  <c r="K370" i="6"/>
  <c r="L370" i="6"/>
  <c r="M370" i="6"/>
  <c r="N370" i="6"/>
  <c r="O370" i="6"/>
  <c r="P370" i="6"/>
  <c r="S370" i="6"/>
  <c r="H371" i="6"/>
  <c r="I371" i="6"/>
  <c r="J371" i="6"/>
  <c r="K371" i="6"/>
  <c r="L371" i="6"/>
  <c r="M371" i="6"/>
  <c r="N371" i="6"/>
  <c r="O371" i="6"/>
  <c r="P371" i="6"/>
  <c r="S371" i="6"/>
  <c r="H372" i="6"/>
  <c r="I372" i="6"/>
  <c r="J372" i="6"/>
  <c r="K372" i="6"/>
  <c r="L372" i="6"/>
  <c r="M372" i="6"/>
  <c r="N372" i="6"/>
  <c r="O372" i="6"/>
  <c r="P372" i="6"/>
  <c r="S372" i="6"/>
  <c r="H373" i="6"/>
  <c r="I373" i="6"/>
  <c r="J373" i="6"/>
  <c r="K373" i="6"/>
  <c r="L373" i="6"/>
  <c r="M373" i="6"/>
  <c r="N373" i="6"/>
  <c r="O373" i="6"/>
  <c r="P373" i="6"/>
  <c r="S373" i="6"/>
  <c r="H374" i="6"/>
  <c r="I374" i="6"/>
  <c r="J374" i="6"/>
  <c r="K374" i="6"/>
  <c r="L374" i="6"/>
  <c r="M374" i="6"/>
  <c r="N374" i="6"/>
  <c r="O374" i="6"/>
  <c r="P374" i="6"/>
  <c r="S374" i="6"/>
  <c r="H375" i="6"/>
  <c r="I375" i="6"/>
  <c r="J375" i="6"/>
  <c r="K375" i="6"/>
  <c r="L375" i="6"/>
  <c r="M375" i="6"/>
  <c r="N375" i="6"/>
  <c r="O375" i="6"/>
  <c r="P375" i="6"/>
  <c r="S375" i="6"/>
  <c r="H376" i="6"/>
  <c r="I376" i="6"/>
  <c r="J376" i="6"/>
  <c r="K376" i="6"/>
  <c r="L376" i="6"/>
  <c r="M376" i="6"/>
  <c r="N376" i="6"/>
  <c r="O376" i="6"/>
  <c r="P376" i="6"/>
  <c r="S376" i="6"/>
  <c r="H377" i="6"/>
  <c r="I377" i="6"/>
  <c r="J377" i="6"/>
  <c r="K377" i="6"/>
  <c r="L377" i="6"/>
  <c r="M377" i="6"/>
  <c r="N377" i="6"/>
  <c r="O377" i="6"/>
  <c r="P377" i="6"/>
  <c r="S377" i="6"/>
  <c r="H378" i="6"/>
  <c r="I378" i="6"/>
  <c r="J378" i="6"/>
  <c r="K378" i="6"/>
  <c r="L378" i="6"/>
  <c r="M378" i="6"/>
  <c r="N378" i="6"/>
  <c r="O378" i="6"/>
  <c r="P378" i="6"/>
  <c r="S378" i="6"/>
  <c r="H379" i="6"/>
  <c r="I379" i="6"/>
  <c r="J379" i="6"/>
  <c r="K379" i="6"/>
  <c r="L379" i="6"/>
  <c r="M379" i="6"/>
  <c r="N379" i="6"/>
  <c r="O379" i="6"/>
  <c r="P379" i="6"/>
  <c r="S379" i="6"/>
  <c r="H380" i="6"/>
  <c r="I380" i="6"/>
  <c r="J380" i="6"/>
  <c r="K380" i="6"/>
  <c r="L380" i="6"/>
  <c r="M380" i="6"/>
  <c r="N380" i="6"/>
  <c r="O380" i="6"/>
  <c r="P380" i="6"/>
  <c r="S380" i="6"/>
  <c r="H381" i="6"/>
  <c r="I381" i="6"/>
  <c r="J381" i="6"/>
  <c r="K381" i="6"/>
  <c r="L381" i="6"/>
  <c r="M381" i="6"/>
  <c r="N381" i="6"/>
  <c r="O381" i="6"/>
  <c r="P381" i="6"/>
  <c r="S381" i="6"/>
  <c r="H382" i="6"/>
  <c r="I382" i="6"/>
  <c r="J382" i="6"/>
  <c r="K382" i="6"/>
  <c r="L382" i="6"/>
  <c r="M382" i="6"/>
  <c r="N382" i="6"/>
  <c r="O382" i="6"/>
  <c r="P382" i="6"/>
  <c r="S382" i="6"/>
  <c r="H383" i="6"/>
  <c r="I383" i="6"/>
  <c r="J383" i="6"/>
  <c r="K383" i="6"/>
  <c r="L383" i="6"/>
  <c r="M383" i="6"/>
  <c r="N383" i="6"/>
  <c r="O383" i="6"/>
  <c r="P383" i="6"/>
  <c r="S383" i="6"/>
  <c r="H384" i="6"/>
  <c r="I384" i="6"/>
  <c r="J384" i="6"/>
  <c r="K384" i="6"/>
  <c r="L384" i="6"/>
  <c r="M384" i="6"/>
  <c r="N384" i="6"/>
  <c r="O384" i="6"/>
  <c r="P384" i="6"/>
  <c r="S384" i="6"/>
  <c r="H385" i="6"/>
  <c r="I385" i="6"/>
  <c r="J385" i="6"/>
  <c r="K385" i="6"/>
  <c r="L385" i="6"/>
  <c r="M385" i="6"/>
  <c r="N385" i="6"/>
  <c r="O385" i="6"/>
  <c r="P385" i="6"/>
  <c r="S385" i="6"/>
  <c r="H386" i="6"/>
  <c r="I386" i="6"/>
  <c r="J386" i="6"/>
  <c r="K386" i="6"/>
  <c r="L386" i="6"/>
  <c r="M386" i="6"/>
  <c r="N386" i="6"/>
  <c r="O386" i="6"/>
  <c r="P386" i="6"/>
  <c r="S386" i="6"/>
  <c r="H387" i="6"/>
  <c r="I387" i="6"/>
  <c r="J387" i="6"/>
  <c r="K387" i="6"/>
  <c r="L387" i="6"/>
  <c r="M387" i="6"/>
  <c r="N387" i="6"/>
  <c r="O387" i="6"/>
  <c r="P387" i="6"/>
  <c r="S387" i="6"/>
  <c r="H388" i="6"/>
  <c r="I388" i="6"/>
  <c r="J388" i="6"/>
  <c r="K388" i="6"/>
  <c r="L388" i="6"/>
  <c r="M388" i="6"/>
  <c r="N388" i="6"/>
  <c r="O388" i="6"/>
  <c r="P388" i="6"/>
  <c r="S388" i="6"/>
  <c r="H389" i="6"/>
  <c r="I389" i="6"/>
  <c r="J389" i="6"/>
  <c r="K389" i="6"/>
  <c r="L389" i="6"/>
  <c r="M389" i="6"/>
  <c r="N389" i="6"/>
  <c r="O389" i="6"/>
  <c r="P389" i="6"/>
  <c r="S389" i="6"/>
  <c r="H390" i="6"/>
  <c r="I390" i="6"/>
  <c r="J390" i="6"/>
  <c r="K390" i="6"/>
  <c r="L390" i="6"/>
  <c r="M390" i="6"/>
  <c r="N390" i="6"/>
  <c r="O390" i="6"/>
  <c r="P390" i="6"/>
  <c r="S390" i="6"/>
  <c r="H391" i="6"/>
  <c r="I391" i="6"/>
  <c r="J391" i="6"/>
  <c r="K391" i="6"/>
  <c r="L391" i="6"/>
  <c r="M391" i="6"/>
  <c r="N391" i="6"/>
  <c r="O391" i="6"/>
  <c r="P391" i="6"/>
  <c r="S391" i="6"/>
  <c r="H392" i="6"/>
  <c r="I392" i="6"/>
  <c r="J392" i="6"/>
  <c r="K392" i="6"/>
  <c r="L392" i="6"/>
  <c r="M392" i="6"/>
  <c r="N392" i="6"/>
  <c r="O392" i="6"/>
  <c r="P392" i="6"/>
  <c r="S392" i="6"/>
  <c r="H393" i="6"/>
  <c r="I393" i="6"/>
  <c r="J393" i="6"/>
  <c r="K393" i="6"/>
  <c r="L393" i="6"/>
  <c r="M393" i="6"/>
  <c r="N393" i="6"/>
  <c r="O393" i="6"/>
  <c r="P393" i="6"/>
  <c r="S393" i="6"/>
  <c r="H394" i="6"/>
  <c r="I394" i="6"/>
  <c r="J394" i="6"/>
  <c r="K394" i="6"/>
  <c r="L394" i="6"/>
  <c r="M394" i="6"/>
  <c r="N394" i="6"/>
  <c r="O394" i="6"/>
  <c r="P394" i="6"/>
  <c r="S394" i="6"/>
  <c r="S395" i="6"/>
  <c r="S396" i="6"/>
  <c r="H397" i="6"/>
  <c r="I397" i="6"/>
  <c r="J397" i="6"/>
  <c r="K397" i="6"/>
  <c r="L397" i="6"/>
  <c r="M397" i="6"/>
  <c r="N397" i="6"/>
  <c r="O397" i="6"/>
  <c r="P397" i="6"/>
  <c r="S397" i="6"/>
  <c r="H398" i="6"/>
  <c r="I398" i="6"/>
  <c r="J398" i="6"/>
  <c r="K398" i="6"/>
  <c r="L398" i="6"/>
  <c r="M398" i="6"/>
  <c r="N398" i="6"/>
  <c r="O398" i="6"/>
  <c r="P398" i="6"/>
  <c r="S398" i="6"/>
  <c r="H399" i="6"/>
  <c r="I399" i="6"/>
  <c r="J399" i="6"/>
  <c r="K399" i="6"/>
  <c r="L399" i="6"/>
  <c r="M399" i="6"/>
  <c r="N399" i="6"/>
  <c r="O399" i="6"/>
  <c r="P399" i="6"/>
  <c r="S399" i="6"/>
  <c r="H400" i="6"/>
  <c r="I400" i="6"/>
  <c r="J400" i="6"/>
  <c r="K400" i="6"/>
  <c r="L400" i="6"/>
  <c r="M400" i="6"/>
  <c r="N400" i="6"/>
  <c r="O400" i="6"/>
  <c r="P400" i="6"/>
  <c r="S400" i="6"/>
  <c r="H401" i="6"/>
  <c r="I401" i="6"/>
  <c r="J401" i="6"/>
  <c r="K401" i="6"/>
  <c r="L401" i="6"/>
  <c r="M401" i="6"/>
  <c r="N401" i="6"/>
  <c r="O401" i="6"/>
  <c r="P401" i="6"/>
  <c r="S401" i="6"/>
  <c r="H402" i="6"/>
  <c r="I402" i="6"/>
  <c r="J402" i="6"/>
  <c r="K402" i="6"/>
  <c r="L402" i="6"/>
  <c r="M402" i="6"/>
  <c r="N402" i="6"/>
  <c r="O402" i="6"/>
  <c r="P402" i="6"/>
  <c r="S402" i="6"/>
  <c r="H403" i="6"/>
  <c r="I403" i="6"/>
  <c r="J403" i="6"/>
  <c r="K403" i="6"/>
  <c r="L403" i="6"/>
  <c r="M403" i="6"/>
  <c r="N403" i="6"/>
  <c r="O403" i="6"/>
  <c r="P403" i="6"/>
  <c r="S403" i="6"/>
  <c r="H404" i="6"/>
  <c r="I404" i="6"/>
  <c r="J404" i="6"/>
  <c r="K404" i="6"/>
  <c r="L404" i="6"/>
  <c r="M404" i="6"/>
  <c r="N404" i="6"/>
  <c r="O404" i="6"/>
  <c r="P404" i="6"/>
  <c r="S404" i="6"/>
  <c r="H405" i="6"/>
  <c r="I405" i="6"/>
  <c r="J405" i="6"/>
  <c r="K405" i="6"/>
  <c r="L405" i="6"/>
  <c r="M405" i="6"/>
  <c r="N405" i="6"/>
  <c r="O405" i="6"/>
  <c r="P405" i="6"/>
  <c r="S405" i="6"/>
  <c r="H406" i="6"/>
  <c r="I406" i="6"/>
  <c r="J406" i="6"/>
  <c r="K406" i="6"/>
  <c r="L406" i="6"/>
  <c r="M406" i="6"/>
  <c r="N406" i="6"/>
  <c r="O406" i="6"/>
  <c r="P406" i="6"/>
  <c r="S406" i="6"/>
  <c r="H407" i="6"/>
  <c r="I407" i="6"/>
  <c r="J407" i="6"/>
  <c r="K407" i="6"/>
  <c r="L407" i="6"/>
  <c r="M407" i="6"/>
  <c r="N407" i="6"/>
  <c r="O407" i="6"/>
  <c r="P407" i="6"/>
  <c r="S407" i="6"/>
  <c r="H408" i="6"/>
  <c r="I408" i="6"/>
  <c r="J408" i="6"/>
  <c r="K408" i="6"/>
  <c r="L408" i="6"/>
  <c r="M408" i="6"/>
  <c r="N408" i="6"/>
  <c r="O408" i="6"/>
  <c r="P408" i="6"/>
  <c r="S408" i="6"/>
  <c r="H409" i="6"/>
  <c r="I409" i="6"/>
  <c r="J409" i="6"/>
  <c r="K409" i="6"/>
  <c r="L409" i="6"/>
  <c r="M409" i="6"/>
  <c r="N409" i="6"/>
  <c r="O409" i="6"/>
  <c r="P409" i="6"/>
  <c r="S409" i="6"/>
  <c r="H410" i="6"/>
  <c r="I410" i="6"/>
  <c r="J410" i="6"/>
  <c r="K410" i="6"/>
  <c r="L410" i="6"/>
  <c r="M410" i="6"/>
  <c r="N410" i="6"/>
  <c r="O410" i="6"/>
  <c r="P410" i="6"/>
  <c r="S410" i="6"/>
  <c r="H411" i="6"/>
  <c r="I411" i="6"/>
  <c r="J411" i="6"/>
  <c r="K411" i="6"/>
  <c r="L411" i="6"/>
  <c r="M411" i="6"/>
  <c r="N411" i="6"/>
  <c r="O411" i="6"/>
  <c r="P411" i="6"/>
  <c r="S411" i="6"/>
  <c r="H412" i="6"/>
  <c r="I412" i="6"/>
  <c r="J412" i="6"/>
  <c r="K412" i="6"/>
  <c r="L412" i="6"/>
  <c r="M412" i="6"/>
  <c r="N412" i="6"/>
  <c r="O412" i="6"/>
  <c r="P412" i="6"/>
  <c r="S412" i="6"/>
  <c r="S413" i="6"/>
  <c r="H414" i="6"/>
  <c r="I414" i="6"/>
  <c r="J414" i="6"/>
  <c r="K414" i="6"/>
  <c r="L414" i="6"/>
  <c r="M414" i="6"/>
  <c r="N414" i="6"/>
  <c r="O414" i="6"/>
  <c r="P414" i="6"/>
  <c r="S414" i="6"/>
  <c r="S415" i="6"/>
  <c r="H416" i="6"/>
  <c r="I416" i="6"/>
  <c r="J416" i="6"/>
  <c r="K416" i="6"/>
  <c r="L416" i="6"/>
  <c r="M416" i="6"/>
  <c r="N416" i="6"/>
  <c r="O416" i="6"/>
  <c r="P416" i="6"/>
  <c r="S416" i="6"/>
  <c r="S417" i="6"/>
  <c r="Q3" i="6"/>
  <c r="Q4" i="6"/>
  <c r="Q5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59" i="6"/>
  <c r="Q60" i="6"/>
  <c r="Q61" i="6"/>
  <c r="Q62" i="6"/>
  <c r="Q63" i="6"/>
  <c r="Q64" i="6"/>
  <c r="Q65" i="6"/>
  <c r="Q66" i="6"/>
  <c r="Q67" i="6"/>
  <c r="Q68" i="6"/>
  <c r="Q69" i="6"/>
  <c r="Q70" i="6"/>
  <c r="Q71" i="6"/>
  <c r="Q72" i="6"/>
  <c r="Q73" i="6"/>
  <c r="Q74" i="6"/>
  <c r="Q75" i="6"/>
  <c r="Q76" i="6"/>
  <c r="Q77" i="6"/>
  <c r="Q78" i="6"/>
  <c r="Q79" i="6"/>
  <c r="Q80" i="6"/>
  <c r="Q81" i="6"/>
  <c r="Q82" i="6"/>
  <c r="Q83" i="6"/>
  <c r="Q84" i="6"/>
  <c r="Q85" i="6"/>
  <c r="Q86" i="6"/>
  <c r="Q87" i="6"/>
  <c r="Q88" i="6"/>
  <c r="Q89" i="6"/>
  <c r="Q90" i="6"/>
  <c r="Q91" i="6"/>
  <c r="Q92" i="6"/>
  <c r="Q93" i="6"/>
  <c r="Q94" i="6"/>
  <c r="Q95" i="6"/>
  <c r="Q96" i="6"/>
  <c r="Q97" i="6"/>
  <c r="Q98" i="6"/>
  <c r="Q99" i="6"/>
  <c r="Q100" i="6"/>
  <c r="Q101" i="6"/>
  <c r="Q102" i="6"/>
  <c r="Q103" i="6"/>
  <c r="Q104" i="6"/>
  <c r="Q105" i="6"/>
  <c r="Q106" i="6"/>
  <c r="Q107" i="6"/>
  <c r="Q108" i="6"/>
  <c r="Q109" i="6"/>
  <c r="Q110" i="6"/>
  <c r="Q111" i="6"/>
  <c r="Q112" i="6"/>
  <c r="Q113" i="6"/>
  <c r="Q114" i="6"/>
  <c r="Q115" i="6"/>
  <c r="Q116" i="6"/>
  <c r="Q117" i="6"/>
  <c r="Q118" i="6"/>
  <c r="Q119" i="6"/>
  <c r="Q120" i="6"/>
  <c r="Q121" i="6"/>
  <c r="Q122" i="6"/>
  <c r="Q123" i="6"/>
  <c r="Q124" i="6"/>
  <c r="Q125" i="6"/>
  <c r="Q126" i="6"/>
  <c r="Q127" i="6"/>
  <c r="Q128" i="6"/>
  <c r="Q129" i="6"/>
  <c r="Q130" i="6"/>
  <c r="Q131" i="6"/>
  <c r="Q132" i="6"/>
  <c r="Q133" i="6"/>
  <c r="Q134" i="6"/>
  <c r="Q135" i="6"/>
  <c r="Q136" i="6"/>
  <c r="Q137" i="6"/>
  <c r="Q138" i="6"/>
  <c r="Q139" i="6"/>
  <c r="Q140" i="6"/>
  <c r="Q141" i="6"/>
  <c r="Q142" i="6"/>
  <c r="Q143" i="6"/>
  <c r="Q144" i="6"/>
  <c r="Q145" i="6"/>
  <c r="Q146" i="6"/>
  <c r="Q147" i="6"/>
  <c r="Q148" i="6"/>
  <c r="Q149" i="6"/>
  <c r="Q150" i="6"/>
  <c r="Q151" i="6"/>
  <c r="Q152" i="6"/>
  <c r="Q153" i="6"/>
  <c r="Q154" i="6"/>
  <c r="Q155" i="6"/>
  <c r="Q156" i="6"/>
  <c r="Q157" i="6"/>
  <c r="Q158" i="6"/>
  <c r="Q159" i="6"/>
  <c r="Q160" i="6"/>
  <c r="Q161" i="6"/>
  <c r="Q162" i="6"/>
  <c r="Q163" i="6"/>
  <c r="Q164" i="6"/>
  <c r="Q165" i="6"/>
  <c r="Q166" i="6"/>
  <c r="Q167" i="6"/>
  <c r="Q168" i="6"/>
  <c r="Q169" i="6"/>
  <c r="Q170" i="6"/>
  <c r="Q171" i="6"/>
  <c r="Q172" i="6"/>
  <c r="Q173" i="6"/>
  <c r="Q174" i="6"/>
  <c r="Q175" i="6"/>
  <c r="Q176" i="6"/>
  <c r="Q177" i="6"/>
  <c r="Q178" i="6"/>
  <c r="Q179" i="6"/>
  <c r="Q180" i="6"/>
  <c r="Q181" i="6"/>
  <c r="Q182" i="6"/>
  <c r="Q183" i="6"/>
  <c r="Q184" i="6"/>
  <c r="Q185" i="6"/>
  <c r="Q186" i="6"/>
  <c r="Q187" i="6"/>
  <c r="Q188" i="6"/>
  <c r="Q189" i="6"/>
  <c r="Q190" i="6"/>
  <c r="Q191" i="6"/>
  <c r="Q192" i="6"/>
  <c r="Q193" i="6"/>
  <c r="Q194" i="6"/>
  <c r="Q195" i="6"/>
  <c r="Q196" i="6"/>
  <c r="Q197" i="6"/>
  <c r="Q198" i="6"/>
  <c r="Q199" i="6"/>
  <c r="Q200" i="6"/>
  <c r="Q201" i="6"/>
  <c r="Q202" i="6"/>
  <c r="Q203" i="6"/>
  <c r="Q204" i="6"/>
  <c r="Q205" i="6"/>
  <c r="Q206" i="6"/>
  <c r="Q207" i="6"/>
  <c r="Q208" i="6"/>
  <c r="Q209" i="6"/>
  <c r="Q210" i="6"/>
  <c r="Q211" i="6"/>
  <c r="Q212" i="6"/>
  <c r="Q213" i="6"/>
  <c r="Q214" i="6"/>
  <c r="Q215" i="6"/>
  <c r="Q216" i="6"/>
  <c r="Q217" i="6"/>
  <c r="Q218" i="6"/>
  <c r="Q219" i="6"/>
  <c r="Q220" i="6"/>
  <c r="Q221" i="6"/>
  <c r="Q222" i="6"/>
  <c r="Q223" i="6"/>
  <c r="Q224" i="6"/>
  <c r="Q225" i="6"/>
  <c r="Q226" i="6"/>
  <c r="Q227" i="6"/>
  <c r="Q228" i="6"/>
  <c r="Q229" i="6"/>
  <c r="Q230" i="6"/>
  <c r="Q231" i="6"/>
  <c r="Q232" i="6"/>
  <c r="Q233" i="6"/>
  <c r="Q234" i="6"/>
  <c r="Q235" i="6"/>
  <c r="Q236" i="6"/>
  <c r="Q237" i="6"/>
  <c r="Q238" i="6"/>
  <c r="Q239" i="6"/>
  <c r="Q240" i="6"/>
  <c r="Q241" i="6"/>
  <c r="Q242" i="6"/>
  <c r="Q243" i="6"/>
  <c r="Q244" i="6"/>
  <c r="Q245" i="6"/>
  <c r="Q246" i="6"/>
  <c r="Q247" i="6"/>
  <c r="Q248" i="6"/>
  <c r="Q249" i="6"/>
  <c r="Q250" i="6"/>
  <c r="Q251" i="6"/>
  <c r="Q252" i="6"/>
  <c r="Q253" i="6"/>
  <c r="Q254" i="6"/>
  <c r="Q255" i="6"/>
  <c r="Q256" i="6"/>
  <c r="Q257" i="6"/>
  <c r="Q258" i="6"/>
  <c r="Q259" i="6"/>
  <c r="Q260" i="6"/>
  <c r="Q261" i="6"/>
  <c r="Q262" i="6"/>
  <c r="Q263" i="6"/>
  <c r="Q264" i="6"/>
  <c r="Q265" i="6"/>
  <c r="Q266" i="6"/>
  <c r="Q267" i="6"/>
  <c r="Q268" i="6"/>
  <c r="Q269" i="6"/>
  <c r="Q270" i="6"/>
  <c r="Q271" i="6"/>
  <c r="Q272" i="6"/>
  <c r="Q273" i="6"/>
  <c r="Q274" i="6"/>
  <c r="Q275" i="6"/>
  <c r="Q276" i="6"/>
  <c r="Q277" i="6"/>
  <c r="Q278" i="6"/>
  <c r="Q279" i="6"/>
  <c r="Q280" i="6"/>
  <c r="Q281" i="6"/>
  <c r="Q282" i="6"/>
  <c r="Q283" i="6"/>
  <c r="Q284" i="6"/>
  <c r="Q285" i="6"/>
  <c r="Q286" i="6"/>
  <c r="Q287" i="6"/>
  <c r="Q288" i="6"/>
  <c r="Q289" i="6"/>
  <c r="Q290" i="6"/>
  <c r="Q291" i="6"/>
  <c r="Q292" i="6"/>
  <c r="Q293" i="6"/>
  <c r="Q294" i="6"/>
  <c r="Q295" i="6"/>
  <c r="Q296" i="6"/>
  <c r="Q297" i="6"/>
  <c r="Q298" i="6"/>
  <c r="Q299" i="6"/>
  <c r="Q300" i="6"/>
  <c r="Q301" i="6"/>
  <c r="Q302" i="6"/>
  <c r="Q303" i="6"/>
  <c r="Q304" i="6"/>
  <c r="Q305" i="6"/>
  <c r="Q306" i="6"/>
  <c r="Q307" i="6"/>
  <c r="Q308" i="6"/>
  <c r="Q309" i="6"/>
  <c r="Q310" i="6"/>
  <c r="Q311" i="6"/>
  <c r="Q312" i="6"/>
  <c r="Q313" i="6"/>
  <c r="Q314" i="6"/>
  <c r="Q315" i="6"/>
  <c r="Q316" i="6"/>
  <c r="Q317" i="6"/>
  <c r="Q318" i="6"/>
  <c r="Q319" i="6"/>
  <c r="Q320" i="6"/>
  <c r="Q321" i="6"/>
  <c r="Q322" i="6"/>
  <c r="Q323" i="6"/>
  <c r="Q324" i="6"/>
  <c r="Q325" i="6"/>
  <c r="Q326" i="6"/>
  <c r="Q327" i="6"/>
  <c r="Q328" i="6"/>
  <c r="Q329" i="6"/>
  <c r="Q330" i="6"/>
  <c r="Q331" i="6"/>
  <c r="Q332" i="6"/>
  <c r="Q333" i="6"/>
  <c r="Q334" i="6"/>
  <c r="Q335" i="6"/>
  <c r="Q336" i="6"/>
  <c r="Q337" i="6"/>
  <c r="Q338" i="6"/>
  <c r="Q339" i="6"/>
  <c r="Q340" i="6"/>
  <c r="Q341" i="6"/>
  <c r="Q342" i="6"/>
  <c r="Q343" i="6"/>
  <c r="Q344" i="6"/>
  <c r="Q345" i="6"/>
  <c r="Q346" i="6"/>
  <c r="Q347" i="6"/>
  <c r="Q348" i="6"/>
  <c r="Q349" i="6"/>
  <c r="Q350" i="6"/>
  <c r="Q351" i="6"/>
  <c r="Q352" i="6"/>
  <c r="Q353" i="6"/>
  <c r="Q354" i="6"/>
  <c r="Q355" i="6"/>
  <c r="Q356" i="6"/>
  <c r="Q357" i="6"/>
  <c r="Q358" i="6"/>
  <c r="Q359" i="6"/>
  <c r="Q360" i="6"/>
  <c r="Q361" i="6"/>
  <c r="Q362" i="6"/>
  <c r="Q363" i="6"/>
  <c r="Q364" i="6"/>
  <c r="Q365" i="6"/>
  <c r="Q366" i="6"/>
  <c r="Q367" i="6"/>
  <c r="Q368" i="6"/>
  <c r="Q369" i="6"/>
  <c r="Q370" i="6"/>
  <c r="Q371" i="6"/>
  <c r="Q372" i="6"/>
  <c r="Q373" i="6"/>
  <c r="Q374" i="6"/>
  <c r="Q375" i="6"/>
  <c r="Q376" i="6"/>
  <c r="Q377" i="6"/>
  <c r="Q378" i="6"/>
  <c r="Q379" i="6"/>
  <c r="Q380" i="6"/>
  <c r="Q381" i="6"/>
  <c r="Q382" i="6"/>
  <c r="Q383" i="6"/>
  <c r="Q384" i="6"/>
  <c r="Q385" i="6"/>
  <c r="Q386" i="6"/>
  <c r="Q387" i="6"/>
  <c r="Q388" i="6"/>
  <c r="Q389" i="6"/>
  <c r="Q390" i="6"/>
  <c r="Q391" i="6"/>
  <c r="Q392" i="6"/>
  <c r="Q393" i="6"/>
  <c r="Q394" i="6"/>
  <c r="Q395" i="6"/>
  <c r="Q396" i="6"/>
  <c r="Q397" i="6"/>
  <c r="Q398" i="6"/>
  <c r="Q399" i="6"/>
  <c r="Q400" i="6"/>
  <c r="Q401" i="6"/>
  <c r="Q402" i="6"/>
  <c r="Q403" i="6"/>
  <c r="Q404" i="6"/>
  <c r="Q405" i="6"/>
  <c r="Q406" i="6"/>
  <c r="Q407" i="6"/>
  <c r="Q408" i="6"/>
  <c r="Q409" i="6"/>
  <c r="Q410" i="6"/>
  <c r="Q411" i="6"/>
  <c r="Q412" i="6"/>
  <c r="Q413" i="6"/>
  <c r="Q414" i="6"/>
  <c r="Q415" i="6"/>
  <c r="Q416" i="6"/>
  <c r="Q417" i="6"/>
  <c r="J2" i="9"/>
  <c r="J3" i="9"/>
  <c r="J4" i="9"/>
  <c r="J5" i="9"/>
  <c r="J6" i="9"/>
  <c r="J7" i="9"/>
  <c r="J8" i="9"/>
  <c r="J9" i="9"/>
  <c r="J10" i="9"/>
  <c r="J11" i="9"/>
  <c r="J12" i="9"/>
  <c r="A405" i="6"/>
  <c r="B405" i="6"/>
  <c r="C405" i="6"/>
  <c r="D405" i="6"/>
  <c r="E405" i="6"/>
  <c r="F405" i="6"/>
  <c r="G405" i="6"/>
  <c r="A406" i="6"/>
  <c r="B406" i="6"/>
  <c r="C406" i="6"/>
  <c r="D406" i="6"/>
  <c r="E406" i="6"/>
  <c r="F406" i="6"/>
  <c r="G406" i="6"/>
  <c r="A407" i="6"/>
  <c r="B407" i="6"/>
  <c r="C407" i="6"/>
  <c r="D407" i="6"/>
  <c r="E407" i="6"/>
  <c r="F407" i="6"/>
  <c r="G407" i="6"/>
  <c r="A408" i="6"/>
  <c r="B408" i="6"/>
  <c r="C408" i="6"/>
  <c r="D408" i="6"/>
  <c r="E408" i="6"/>
  <c r="F408" i="6"/>
  <c r="G408" i="6"/>
  <c r="A409" i="6"/>
  <c r="B409" i="6"/>
  <c r="C409" i="6"/>
  <c r="D409" i="6"/>
  <c r="E409" i="6"/>
  <c r="F409" i="6"/>
  <c r="G409" i="6"/>
  <c r="A410" i="6"/>
  <c r="B410" i="6"/>
  <c r="C410" i="6"/>
  <c r="D410" i="6"/>
  <c r="E410" i="6"/>
  <c r="F410" i="6"/>
  <c r="G410" i="6"/>
  <c r="A411" i="6"/>
  <c r="B411" i="6"/>
  <c r="C411" i="6"/>
  <c r="D411" i="6"/>
  <c r="E411" i="6"/>
  <c r="F411" i="6"/>
  <c r="G411" i="6"/>
  <c r="A412" i="6"/>
  <c r="B412" i="6"/>
  <c r="C412" i="6"/>
  <c r="D412" i="6"/>
  <c r="E412" i="6"/>
  <c r="F412" i="6"/>
  <c r="G412" i="6"/>
  <c r="A413" i="6"/>
  <c r="B413" i="6"/>
  <c r="C413" i="6"/>
  <c r="D413" i="6"/>
  <c r="E413" i="6"/>
  <c r="F413" i="6"/>
  <c r="G413" i="6"/>
  <c r="H413" i="6"/>
  <c r="I413" i="6"/>
  <c r="J413" i="6"/>
  <c r="K413" i="6"/>
  <c r="L413" i="6"/>
  <c r="M413" i="6"/>
  <c r="N413" i="6"/>
  <c r="O413" i="6"/>
  <c r="P413" i="6"/>
  <c r="A414" i="6"/>
  <c r="B414" i="6"/>
  <c r="C414" i="6"/>
  <c r="D414" i="6"/>
  <c r="E414" i="6"/>
  <c r="F414" i="6"/>
  <c r="G414" i="6"/>
  <c r="A415" i="6"/>
  <c r="B415" i="6"/>
  <c r="C415" i="6"/>
  <c r="D415" i="6"/>
  <c r="E415" i="6"/>
  <c r="F415" i="6"/>
  <c r="G415" i="6"/>
  <c r="H415" i="6"/>
  <c r="I415" i="6"/>
  <c r="J415" i="6"/>
  <c r="K415" i="6"/>
  <c r="L415" i="6"/>
  <c r="M415" i="6"/>
  <c r="N415" i="6"/>
  <c r="O415" i="6"/>
  <c r="P415" i="6"/>
  <c r="A416" i="6"/>
  <c r="B416" i="6"/>
  <c r="C416" i="6"/>
  <c r="D416" i="6"/>
  <c r="E416" i="6"/>
  <c r="F416" i="6"/>
  <c r="G416" i="6"/>
  <c r="A417" i="6"/>
  <c r="B417" i="6"/>
  <c r="C417" i="6"/>
  <c r="D417" i="6"/>
  <c r="E417" i="6"/>
  <c r="F417" i="6"/>
  <c r="G417" i="6"/>
  <c r="H417" i="6"/>
  <c r="I417" i="6"/>
  <c r="J417" i="6"/>
  <c r="K417" i="6"/>
  <c r="L417" i="6"/>
  <c r="M417" i="6"/>
  <c r="N417" i="6"/>
  <c r="O417" i="6"/>
  <c r="P417" i="6"/>
  <c r="A388" i="6"/>
  <c r="B388" i="6"/>
  <c r="C388" i="6"/>
  <c r="D388" i="6"/>
  <c r="E388" i="6"/>
  <c r="F388" i="6"/>
  <c r="G388" i="6"/>
  <c r="A389" i="6"/>
  <c r="B389" i="6"/>
  <c r="C389" i="6"/>
  <c r="D389" i="6"/>
  <c r="E389" i="6"/>
  <c r="F389" i="6"/>
  <c r="G389" i="6"/>
  <c r="A390" i="6"/>
  <c r="B390" i="6"/>
  <c r="C390" i="6"/>
  <c r="D390" i="6"/>
  <c r="E390" i="6"/>
  <c r="F390" i="6"/>
  <c r="G390" i="6"/>
  <c r="A391" i="6"/>
  <c r="B391" i="6"/>
  <c r="C391" i="6"/>
  <c r="D391" i="6"/>
  <c r="E391" i="6"/>
  <c r="F391" i="6"/>
  <c r="G391" i="6"/>
  <c r="A392" i="6"/>
  <c r="B392" i="6"/>
  <c r="C392" i="6"/>
  <c r="D392" i="6"/>
  <c r="E392" i="6"/>
  <c r="F392" i="6"/>
  <c r="G392" i="6"/>
  <c r="A393" i="6"/>
  <c r="B393" i="6"/>
  <c r="C393" i="6"/>
  <c r="D393" i="6"/>
  <c r="E393" i="6"/>
  <c r="F393" i="6"/>
  <c r="G393" i="6"/>
  <c r="A394" i="6"/>
  <c r="B394" i="6"/>
  <c r="C394" i="6"/>
  <c r="D394" i="6"/>
  <c r="E394" i="6"/>
  <c r="F394" i="6"/>
  <c r="G394" i="6"/>
  <c r="A395" i="6"/>
  <c r="B395" i="6"/>
  <c r="C395" i="6"/>
  <c r="D395" i="6"/>
  <c r="E395" i="6"/>
  <c r="F395" i="6"/>
  <c r="G395" i="6"/>
  <c r="H395" i="6"/>
  <c r="I395" i="6"/>
  <c r="J395" i="6"/>
  <c r="K395" i="6"/>
  <c r="L395" i="6"/>
  <c r="M395" i="6"/>
  <c r="N395" i="6"/>
  <c r="O395" i="6"/>
  <c r="P395" i="6"/>
  <c r="A396" i="6"/>
  <c r="B396" i="6"/>
  <c r="C396" i="6"/>
  <c r="D396" i="6"/>
  <c r="E396" i="6"/>
  <c r="F396" i="6"/>
  <c r="G396" i="6"/>
  <c r="H396" i="6"/>
  <c r="I396" i="6"/>
  <c r="J396" i="6"/>
  <c r="K396" i="6"/>
  <c r="L396" i="6"/>
  <c r="M396" i="6"/>
  <c r="N396" i="6"/>
  <c r="O396" i="6"/>
  <c r="P396" i="6"/>
  <c r="A397" i="6"/>
  <c r="B397" i="6"/>
  <c r="C397" i="6"/>
  <c r="D397" i="6"/>
  <c r="E397" i="6"/>
  <c r="F397" i="6"/>
  <c r="G397" i="6"/>
  <c r="A398" i="6"/>
  <c r="B398" i="6"/>
  <c r="C398" i="6"/>
  <c r="D398" i="6"/>
  <c r="E398" i="6"/>
  <c r="F398" i="6"/>
  <c r="G398" i="6"/>
  <c r="A399" i="6"/>
  <c r="B399" i="6"/>
  <c r="C399" i="6"/>
  <c r="D399" i="6"/>
  <c r="E399" i="6"/>
  <c r="F399" i="6"/>
  <c r="G399" i="6"/>
  <c r="A400" i="6"/>
  <c r="B400" i="6"/>
  <c r="C400" i="6"/>
  <c r="D400" i="6"/>
  <c r="E400" i="6"/>
  <c r="F400" i="6"/>
  <c r="G400" i="6"/>
  <c r="A401" i="6"/>
  <c r="B401" i="6"/>
  <c r="C401" i="6"/>
  <c r="D401" i="6"/>
  <c r="E401" i="6"/>
  <c r="F401" i="6"/>
  <c r="G401" i="6"/>
  <c r="A402" i="6"/>
  <c r="B402" i="6"/>
  <c r="C402" i="6"/>
  <c r="D402" i="6"/>
  <c r="E402" i="6"/>
  <c r="F402" i="6"/>
  <c r="G402" i="6"/>
  <c r="A403" i="6"/>
  <c r="B403" i="6"/>
  <c r="C403" i="6"/>
  <c r="D403" i="6"/>
  <c r="E403" i="6"/>
  <c r="F403" i="6"/>
  <c r="G403" i="6"/>
  <c r="A404" i="6"/>
  <c r="B404" i="6"/>
  <c r="C404" i="6"/>
  <c r="D404" i="6"/>
  <c r="E404" i="6"/>
  <c r="F404" i="6"/>
  <c r="G404" i="6"/>
  <c r="A358" i="6"/>
  <c r="B358" i="6"/>
  <c r="C358" i="6"/>
  <c r="D358" i="6"/>
  <c r="E358" i="6"/>
  <c r="F358" i="6"/>
  <c r="G358" i="6"/>
  <c r="A359" i="6"/>
  <c r="B359" i="6"/>
  <c r="C359" i="6"/>
  <c r="D359" i="6"/>
  <c r="E359" i="6"/>
  <c r="F359" i="6"/>
  <c r="G359" i="6"/>
  <c r="H359" i="6"/>
  <c r="I359" i="6"/>
  <c r="J359" i="6"/>
  <c r="K359" i="6"/>
  <c r="L359" i="6"/>
  <c r="M359" i="6"/>
  <c r="N359" i="6"/>
  <c r="O359" i="6"/>
  <c r="P359" i="6"/>
  <c r="A360" i="6"/>
  <c r="B360" i="6"/>
  <c r="C360" i="6"/>
  <c r="D360" i="6"/>
  <c r="E360" i="6"/>
  <c r="F360" i="6"/>
  <c r="G360" i="6"/>
  <c r="A361" i="6"/>
  <c r="B361" i="6"/>
  <c r="C361" i="6"/>
  <c r="D361" i="6"/>
  <c r="E361" i="6"/>
  <c r="F361" i="6"/>
  <c r="G361" i="6"/>
  <c r="A362" i="6"/>
  <c r="B362" i="6"/>
  <c r="C362" i="6"/>
  <c r="D362" i="6"/>
  <c r="E362" i="6"/>
  <c r="F362" i="6"/>
  <c r="G362" i="6"/>
  <c r="H362" i="6"/>
  <c r="I362" i="6"/>
  <c r="J362" i="6"/>
  <c r="K362" i="6"/>
  <c r="L362" i="6"/>
  <c r="M362" i="6"/>
  <c r="N362" i="6"/>
  <c r="O362" i="6"/>
  <c r="P362" i="6"/>
  <c r="A363" i="6"/>
  <c r="B363" i="6"/>
  <c r="C363" i="6"/>
  <c r="D363" i="6"/>
  <c r="E363" i="6"/>
  <c r="F363" i="6"/>
  <c r="G363" i="6"/>
  <c r="H363" i="6"/>
  <c r="I363" i="6"/>
  <c r="J363" i="6"/>
  <c r="K363" i="6"/>
  <c r="L363" i="6"/>
  <c r="M363" i="6"/>
  <c r="N363" i="6"/>
  <c r="O363" i="6"/>
  <c r="P363" i="6"/>
  <c r="A364" i="6"/>
  <c r="B364" i="6"/>
  <c r="C364" i="6"/>
  <c r="D364" i="6"/>
  <c r="E364" i="6"/>
  <c r="F364" i="6"/>
  <c r="G364" i="6"/>
  <c r="H364" i="6"/>
  <c r="I364" i="6"/>
  <c r="J364" i="6"/>
  <c r="K364" i="6"/>
  <c r="L364" i="6"/>
  <c r="M364" i="6"/>
  <c r="N364" i="6"/>
  <c r="O364" i="6"/>
  <c r="P364" i="6"/>
  <c r="A365" i="6"/>
  <c r="B365" i="6"/>
  <c r="C365" i="6"/>
  <c r="D365" i="6"/>
  <c r="E365" i="6"/>
  <c r="F365" i="6"/>
  <c r="G365" i="6"/>
  <c r="H365" i="6"/>
  <c r="I365" i="6"/>
  <c r="J365" i="6"/>
  <c r="K365" i="6"/>
  <c r="L365" i="6"/>
  <c r="M365" i="6"/>
  <c r="N365" i="6"/>
  <c r="O365" i="6"/>
  <c r="P365" i="6"/>
  <c r="A366" i="6"/>
  <c r="B366" i="6"/>
  <c r="C366" i="6"/>
  <c r="D366" i="6"/>
  <c r="E366" i="6"/>
  <c r="F366" i="6"/>
  <c r="G366" i="6"/>
  <c r="A367" i="6"/>
  <c r="B367" i="6"/>
  <c r="C367" i="6"/>
  <c r="D367" i="6"/>
  <c r="E367" i="6"/>
  <c r="F367" i="6"/>
  <c r="G367" i="6"/>
  <c r="A368" i="6"/>
  <c r="B368" i="6"/>
  <c r="C368" i="6"/>
  <c r="D368" i="6"/>
  <c r="E368" i="6"/>
  <c r="F368" i="6"/>
  <c r="G368" i="6"/>
  <c r="H368" i="6"/>
  <c r="I368" i="6"/>
  <c r="J368" i="6"/>
  <c r="K368" i="6"/>
  <c r="L368" i="6"/>
  <c r="M368" i="6"/>
  <c r="N368" i="6"/>
  <c r="O368" i="6"/>
  <c r="P368" i="6"/>
  <c r="A369" i="6"/>
  <c r="B369" i="6"/>
  <c r="C369" i="6"/>
  <c r="D369" i="6"/>
  <c r="E369" i="6"/>
  <c r="F369" i="6"/>
  <c r="G369" i="6"/>
  <c r="A370" i="6"/>
  <c r="B370" i="6"/>
  <c r="C370" i="6"/>
  <c r="D370" i="6"/>
  <c r="E370" i="6"/>
  <c r="F370" i="6"/>
  <c r="G370" i="6"/>
  <c r="A371" i="6"/>
  <c r="B371" i="6"/>
  <c r="C371" i="6"/>
  <c r="D371" i="6"/>
  <c r="E371" i="6"/>
  <c r="F371" i="6"/>
  <c r="G371" i="6"/>
  <c r="A372" i="6"/>
  <c r="B372" i="6"/>
  <c r="C372" i="6"/>
  <c r="D372" i="6"/>
  <c r="E372" i="6"/>
  <c r="F372" i="6"/>
  <c r="G372" i="6"/>
  <c r="A373" i="6"/>
  <c r="B373" i="6"/>
  <c r="C373" i="6"/>
  <c r="D373" i="6"/>
  <c r="E373" i="6"/>
  <c r="F373" i="6"/>
  <c r="G373" i="6"/>
  <c r="A374" i="6"/>
  <c r="B374" i="6"/>
  <c r="C374" i="6"/>
  <c r="D374" i="6"/>
  <c r="E374" i="6"/>
  <c r="F374" i="6"/>
  <c r="G374" i="6"/>
  <c r="A375" i="6"/>
  <c r="B375" i="6"/>
  <c r="C375" i="6"/>
  <c r="D375" i="6"/>
  <c r="E375" i="6"/>
  <c r="F375" i="6"/>
  <c r="G375" i="6"/>
  <c r="A376" i="6"/>
  <c r="B376" i="6"/>
  <c r="C376" i="6"/>
  <c r="D376" i="6"/>
  <c r="E376" i="6"/>
  <c r="F376" i="6"/>
  <c r="G376" i="6"/>
  <c r="A377" i="6"/>
  <c r="B377" i="6"/>
  <c r="C377" i="6"/>
  <c r="D377" i="6"/>
  <c r="E377" i="6"/>
  <c r="F377" i="6"/>
  <c r="G377" i="6"/>
  <c r="A378" i="6"/>
  <c r="B378" i="6"/>
  <c r="C378" i="6"/>
  <c r="D378" i="6"/>
  <c r="E378" i="6"/>
  <c r="F378" i="6"/>
  <c r="G378" i="6"/>
  <c r="A379" i="6"/>
  <c r="B379" i="6"/>
  <c r="C379" i="6"/>
  <c r="D379" i="6"/>
  <c r="E379" i="6"/>
  <c r="F379" i="6"/>
  <c r="G379" i="6"/>
  <c r="A380" i="6"/>
  <c r="B380" i="6"/>
  <c r="C380" i="6"/>
  <c r="D380" i="6"/>
  <c r="E380" i="6"/>
  <c r="F380" i="6"/>
  <c r="G380" i="6"/>
  <c r="A381" i="6"/>
  <c r="B381" i="6"/>
  <c r="C381" i="6"/>
  <c r="D381" i="6"/>
  <c r="E381" i="6"/>
  <c r="F381" i="6"/>
  <c r="G381" i="6"/>
  <c r="A382" i="6"/>
  <c r="B382" i="6"/>
  <c r="C382" i="6"/>
  <c r="D382" i="6"/>
  <c r="E382" i="6"/>
  <c r="F382" i="6"/>
  <c r="G382" i="6"/>
  <c r="A383" i="6"/>
  <c r="B383" i="6"/>
  <c r="C383" i="6"/>
  <c r="D383" i="6"/>
  <c r="E383" i="6"/>
  <c r="F383" i="6"/>
  <c r="G383" i="6"/>
  <c r="A384" i="6"/>
  <c r="B384" i="6"/>
  <c r="C384" i="6"/>
  <c r="D384" i="6"/>
  <c r="E384" i="6"/>
  <c r="F384" i="6"/>
  <c r="G384" i="6"/>
  <c r="A385" i="6"/>
  <c r="B385" i="6"/>
  <c r="C385" i="6"/>
  <c r="D385" i="6"/>
  <c r="E385" i="6"/>
  <c r="F385" i="6"/>
  <c r="G385" i="6"/>
  <c r="A386" i="6"/>
  <c r="B386" i="6"/>
  <c r="C386" i="6"/>
  <c r="D386" i="6"/>
  <c r="E386" i="6"/>
  <c r="F386" i="6"/>
  <c r="G386" i="6"/>
  <c r="A387" i="6"/>
  <c r="B387" i="6"/>
  <c r="C387" i="6"/>
  <c r="D387" i="6"/>
  <c r="E387" i="6"/>
  <c r="F387" i="6"/>
  <c r="G387" i="6"/>
  <c r="A351" i="6"/>
  <c r="B351" i="6"/>
  <c r="C351" i="6"/>
  <c r="D351" i="6"/>
  <c r="E351" i="6"/>
  <c r="F351" i="6"/>
  <c r="G351" i="6"/>
  <c r="A352" i="6"/>
  <c r="B352" i="6"/>
  <c r="C352" i="6"/>
  <c r="D352" i="6"/>
  <c r="E352" i="6"/>
  <c r="F352" i="6"/>
  <c r="G352" i="6"/>
  <c r="A353" i="6"/>
  <c r="B353" i="6"/>
  <c r="C353" i="6"/>
  <c r="D353" i="6"/>
  <c r="E353" i="6"/>
  <c r="F353" i="6"/>
  <c r="G353" i="6"/>
  <c r="H353" i="6"/>
  <c r="I353" i="6"/>
  <c r="J353" i="6"/>
  <c r="K353" i="6"/>
  <c r="L353" i="6"/>
  <c r="M353" i="6"/>
  <c r="N353" i="6"/>
  <c r="O353" i="6"/>
  <c r="P353" i="6"/>
  <c r="A354" i="6"/>
  <c r="B354" i="6"/>
  <c r="C354" i="6"/>
  <c r="D354" i="6"/>
  <c r="E354" i="6"/>
  <c r="F354" i="6"/>
  <c r="G354" i="6"/>
  <c r="H354" i="6"/>
  <c r="I354" i="6"/>
  <c r="J354" i="6"/>
  <c r="K354" i="6"/>
  <c r="L354" i="6"/>
  <c r="M354" i="6"/>
  <c r="N354" i="6"/>
  <c r="O354" i="6"/>
  <c r="P354" i="6"/>
  <c r="A355" i="6"/>
  <c r="B355" i="6"/>
  <c r="C355" i="6"/>
  <c r="D355" i="6"/>
  <c r="E355" i="6"/>
  <c r="F355" i="6"/>
  <c r="G355" i="6"/>
  <c r="A356" i="6"/>
  <c r="B356" i="6"/>
  <c r="C356" i="6"/>
  <c r="D356" i="6"/>
  <c r="E356" i="6"/>
  <c r="F356" i="6"/>
  <c r="G356" i="6"/>
  <c r="A357" i="6"/>
  <c r="B357" i="6"/>
  <c r="C357" i="6"/>
  <c r="D357" i="6"/>
  <c r="E357" i="6"/>
  <c r="F357" i="6"/>
  <c r="G357" i="6"/>
  <c r="B348" i="6"/>
  <c r="B3" i="6"/>
  <c r="B4" i="6"/>
  <c r="B6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B10" i="6"/>
  <c r="B11" i="6"/>
  <c r="B12" i="6"/>
  <c r="B13" i="6"/>
  <c r="B14" i="6"/>
  <c r="B15" i="6"/>
  <c r="B16" i="6"/>
  <c r="B17" i="6"/>
  <c r="B19" i="6"/>
  <c r="B20" i="6"/>
  <c r="B21" i="6"/>
  <c r="B22" i="6"/>
  <c r="B23" i="6"/>
  <c r="B24" i="6"/>
  <c r="B25" i="6"/>
  <c r="B26" i="6"/>
  <c r="B27" i="6"/>
  <c r="B28" i="6"/>
  <c r="B30" i="6"/>
  <c r="B32" i="6"/>
  <c r="B33" i="6"/>
  <c r="B34" i="6"/>
  <c r="B35" i="6"/>
  <c r="B36" i="6"/>
  <c r="B37" i="6"/>
  <c r="B38" i="6"/>
  <c r="B39" i="6"/>
  <c r="B40" i="6"/>
  <c r="B41" i="6"/>
  <c r="B42" i="6"/>
  <c r="B43" i="6"/>
  <c r="B45" i="6"/>
  <c r="B46" i="6"/>
  <c r="B47" i="6"/>
  <c r="B48" i="6"/>
  <c r="B49" i="6"/>
  <c r="B50" i="6"/>
  <c r="B51" i="6"/>
  <c r="B52" i="6"/>
  <c r="B53" i="6"/>
  <c r="B54" i="6"/>
  <c r="B55" i="6"/>
  <c r="B56" i="6"/>
  <c r="B58" i="6"/>
  <c r="B60" i="6"/>
  <c r="B62" i="6"/>
  <c r="B63" i="6"/>
  <c r="B64" i="6"/>
  <c r="B65" i="6"/>
  <c r="B66" i="6"/>
  <c r="B69" i="6"/>
  <c r="B70" i="6"/>
  <c r="B71" i="6"/>
  <c r="B72" i="6"/>
  <c r="B74" i="6"/>
  <c r="B75" i="6"/>
  <c r="B76" i="6"/>
  <c r="B77" i="6"/>
  <c r="B78" i="6"/>
  <c r="B79" i="6"/>
  <c r="B80" i="6"/>
  <c r="B81" i="6"/>
  <c r="B82" i="6"/>
  <c r="B83" i="6"/>
  <c r="B85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7" i="6"/>
  <c r="B108" i="6"/>
  <c r="B113" i="6"/>
  <c r="B114" i="6"/>
  <c r="B116" i="6"/>
  <c r="B117" i="6"/>
  <c r="B119" i="6"/>
  <c r="B120" i="6"/>
  <c r="B121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2" i="6"/>
  <c r="B153" i="6"/>
  <c r="B154" i="6"/>
  <c r="B155" i="6"/>
  <c r="B156" i="6"/>
  <c r="B157" i="6"/>
  <c r="B159" i="6"/>
  <c r="B160" i="6"/>
  <c r="B161" i="6"/>
  <c r="B162" i="6"/>
  <c r="B163" i="6"/>
  <c r="B164" i="6"/>
  <c r="B165" i="6"/>
  <c r="B166" i="6"/>
  <c r="B167" i="6"/>
  <c r="B168" i="6"/>
  <c r="B170" i="6"/>
  <c r="B171" i="6"/>
  <c r="B172" i="6"/>
  <c r="B173" i="6"/>
  <c r="B174" i="6"/>
  <c r="B175" i="6"/>
  <c r="B176" i="6"/>
  <c r="B177" i="6"/>
  <c r="B179" i="6"/>
  <c r="B181" i="6"/>
  <c r="B182" i="6"/>
  <c r="B183" i="6"/>
  <c r="B184" i="6"/>
  <c r="B185" i="6"/>
  <c r="B186" i="6"/>
  <c r="B188" i="6"/>
  <c r="B189" i="6"/>
  <c r="B191" i="6"/>
  <c r="B192" i="6"/>
  <c r="B194" i="6"/>
  <c r="B195" i="6"/>
  <c r="B196" i="6"/>
  <c r="B197" i="6"/>
  <c r="B199" i="6"/>
  <c r="B200" i="6"/>
  <c r="B201" i="6"/>
  <c r="B202" i="6"/>
  <c r="B203" i="6"/>
  <c r="B204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3" i="6"/>
  <c r="B224" i="6"/>
  <c r="B225" i="6"/>
  <c r="B226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6" i="6"/>
  <c r="B269" i="6"/>
  <c r="B270" i="6"/>
  <c r="B271" i="6"/>
  <c r="B272" i="6"/>
  <c r="B273" i="6"/>
  <c r="B274" i="6"/>
  <c r="B275" i="6"/>
  <c r="B276" i="6"/>
  <c r="B278" i="6"/>
  <c r="B279" i="6"/>
  <c r="B280" i="6"/>
  <c r="B281" i="6"/>
  <c r="B283" i="6"/>
  <c r="B285" i="6"/>
  <c r="B286" i="6"/>
  <c r="B287" i="6"/>
  <c r="B288" i="6"/>
  <c r="B289" i="6"/>
  <c r="B291" i="6"/>
  <c r="B294" i="6"/>
  <c r="B297" i="6"/>
  <c r="B298" i="6"/>
  <c r="B302" i="6"/>
  <c r="B303" i="6"/>
  <c r="B305" i="6"/>
  <c r="B307" i="6"/>
  <c r="B308" i="6"/>
  <c r="B309" i="6"/>
  <c r="B310" i="6"/>
  <c r="B311" i="6"/>
  <c r="B312" i="6"/>
  <c r="B313" i="6"/>
  <c r="B314" i="6"/>
  <c r="B315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C305" i="6"/>
  <c r="D305" i="6"/>
  <c r="F305" i="6"/>
  <c r="G305" i="6"/>
  <c r="B306" i="6"/>
  <c r="C306" i="6"/>
  <c r="D306" i="6"/>
  <c r="F306" i="6"/>
  <c r="G306" i="6"/>
  <c r="H306" i="6"/>
  <c r="I306" i="6"/>
  <c r="J306" i="6"/>
  <c r="K306" i="6"/>
  <c r="L306" i="6"/>
  <c r="M306" i="6"/>
  <c r="N306" i="6"/>
  <c r="O306" i="6"/>
  <c r="P306" i="6"/>
  <c r="C307" i="6"/>
  <c r="D307" i="6"/>
  <c r="F307" i="6"/>
  <c r="G307" i="6"/>
  <c r="C308" i="6"/>
  <c r="D308" i="6"/>
  <c r="F308" i="6"/>
  <c r="G308" i="6"/>
  <c r="C309" i="6"/>
  <c r="D309" i="6"/>
  <c r="F309" i="6"/>
  <c r="G309" i="6"/>
  <c r="C310" i="6"/>
  <c r="D310" i="6"/>
  <c r="F310" i="6"/>
  <c r="G310" i="6"/>
  <c r="C311" i="6"/>
  <c r="D311" i="6"/>
  <c r="F311" i="6"/>
  <c r="G311" i="6"/>
  <c r="C312" i="6"/>
  <c r="D312" i="6"/>
  <c r="F312" i="6"/>
  <c r="G312" i="6"/>
  <c r="C313" i="6"/>
  <c r="D313" i="6"/>
  <c r="F313" i="6"/>
  <c r="G313" i="6"/>
  <c r="C314" i="6"/>
  <c r="D314" i="6"/>
  <c r="F314" i="6"/>
  <c r="G314" i="6"/>
  <c r="C315" i="6"/>
  <c r="D315" i="6"/>
  <c r="F315" i="6"/>
  <c r="G315" i="6"/>
  <c r="B316" i="6"/>
  <c r="C316" i="6"/>
  <c r="D316" i="6"/>
  <c r="F316" i="6"/>
  <c r="G316" i="6"/>
  <c r="H316" i="6"/>
  <c r="I316" i="6"/>
  <c r="J316" i="6"/>
  <c r="K316" i="6"/>
  <c r="L316" i="6"/>
  <c r="M316" i="6"/>
  <c r="N316" i="6"/>
  <c r="O316" i="6"/>
  <c r="P316" i="6"/>
  <c r="C317" i="6"/>
  <c r="D317" i="6"/>
  <c r="F317" i="6"/>
  <c r="G317" i="6"/>
  <c r="C318" i="6"/>
  <c r="D318" i="6"/>
  <c r="F318" i="6"/>
  <c r="G318" i="6"/>
  <c r="C319" i="6"/>
  <c r="D319" i="6"/>
  <c r="F319" i="6"/>
  <c r="G319" i="6"/>
  <c r="C320" i="6"/>
  <c r="D320" i="6"/>
  <c r="F320" i="6"/>
  <c r="G320" i="6"/>
  <c r="C321" i="6"/>
  <c r="D321" i="6"/>
  <c r="F321" i="6"/>
  <c r="G321" i="6"/>
  <c r="C322" i="6"/>
  <c r="D322" i="6"/>
  <c r="F322" i="6"/>
  <c r="G322" i="6"/>
  <c r="C323" i="6"/>
  <c r="D323" i="6"/>
  <c r="F323" i="6"/>
  <c r="G323" i="6"/>
  <c r="C324" i="6"/>
  <c r="D324" i="6"/>
  <c r="F324" i="6"/>
  <c r="G324" i="6"/>
  <c r="C325" i="6"/>
  <c r="D325" i="6"/>
  <c r="F325" i="6"/>
  <c r="G325" i="6"/>
  <c r="C326" i="6"/>
  <c r="D326" i="6"/>
  <c r="F326" i="6"/>
  <c r="G326" i="6"/>
  <c r="C327" i="6"/>
  <c r="D327" i="6"/>
  <c r="F327" i="6"/>
  <c r="G327" i="6"/>
  <c r="C328" i="6"/>
  <c r="D328" i="6"/>
  <c r="F328" i="6"/>
  <c r="G328" i="6"/>
  <c r="B329" i="6"/>
  <c r="C329" i="6"/>
  <c r="D329" i="6"/>
  <c r="F329" i="6"/>
  <c r="G329" i="6"/>
  <c r="H329" i="6"/>
  <c r="I329" i="6"/>
  <c r="J329" i="6"/>
  <c r="K329" i="6"/>
  <c r="L329" i="6"/>
  <c r="M329" i="6"/>
  <c r="N329" i="6"/>
  <c r="O329" i="6"/>
  <c r="P329" i="6"/>
  <c r="B330" i="6"/>
  <c r="C330" i="6"/>
  <c r="D330" i="6"/>
  <c r="F330" i="6"/>
  <c r="G330" i="6"/>
  <c r="H330" i="6"/>
  <c r="I330" i="6"/>
  <c r="J330" i="6"/>
  <c r="K330" i="6"/>
  <c r="L330" i="6"/>
  <c r="M330" i="6"/>
  <c r="N330" i="6"/>
  <c r="O330" i="6"/>
  <c r="P330" i="6"/>
  <c r="B331" i="6"/>
  <c r="C331" i="6"/>
  <c r="D331" i="6"/>
  <c r="F331" i="6"/>
  <c r="G331" i="6"/>
  <c r="H331" i="6"/>
  <c r="I331" i="6"/>
  <c r="J331" i="6"/>
  <c r="K331" i="6"/>
  <c r="L331" i="6"/>
  <c r="M331" i="6"/>
  <c r="N331" i="6"/>
  <c r="O331" i="6"/>
  <c r="P331" i="6"/>
  <c r="B332" i="6"/>
  <c r="C332" i="6"/>
  <c r="D332" i="6"/>
  <c r="F332" i="6"/>
  <c r="G332" i="6"/>
  <c r="H332" i="6"/>
  <c r="I332" i="6"/>
  <c r="J332" i="6"/>
  <c r="K332" i="6"/>
  <c r="L332" i="6"/>
  <c r="M332" i="6"/>
  <c r="N332" i="6"/>
  <c r="O332" i="6"/>
  <c r="P332" i="6"/>
  <c r="B333" i="6"/>
  <c r="C333" i="6"/>
  <c r="D333" i="6"/>
  <c r="F333" i="6"/>
  <c r="G333" i="6"/>
  <c r="H333" i="6"/>
  <c r="I333" i="6"/>
  <c r="J333" i="6"/>
  <c r="K333" i="6"/>
  <c r="L333" i="6"/>
  <c r="M333" i="6"/>
  <c r="N333" i="6"/>
  <c r="O333" i="6"/>
  <c r="P333" i="6"/>
  <c r="B334" i="6"/>
  <c r="C334" i="6"/>
  <c r="D334" i="6"/>
  <c r="F334" i="6"/>
  <c r="G334" i="6"/>
  <c r="H334" i="6"/>
  <c r="I334" i="6"/>
  <c r="J334" i="6"/>
  <c r="K334" i="6"/>
  <c r="L334" i="6"/>
  <c r="M334" i="6"/>
  <c r="N334" i="6"/>
  <c r="O334" i="6"/>
  <c r="P334" i="6"/>
  <c r="B335" i="6"/>
  <c r="C335" i="6"/>
  <c r="D335" i="6"/>
  <c r="F335" i="6"/>
  <c r="G335" i="6"/>
  <c r="H335" i="6"/>
  <c r="I335" i="6"/>
  <c r="J335" i="6"/>
  <c r="K335" i="6"/>
  <c r="L335" i="6"/>
  <c r="M335" i="6"/>
  <c r="N335" i="6"/>
  <c r="O335" i="6"/>
  <c r="P335" i="6"/>
  <c r="B336" i="6"/>
  <c r="C336" i="6"/>
  <c r="D336" i="6"/>
  <c r="F336" i="6"/>
  <c r="G336" i="6"/>
  <c r="H336" i="6"/>
  <c r="I336" i="6"/>
  <c r="J336" i="6"/>
  <c r="K336" i="6"/>
  <c r="L336" i="6"/>
  <c r="M336" i="6"/>
  <c r="N336" i="6"/>
  <c r="O336" i="6"/>
  <c r="P336" i="6"/>
  <c r="B337" i="6"/>
  <c r="C337" i="6"/>
  <c r="D337" i="6"/>
  <c r="F337" i="6"/>
  <c r="G337" i="6"/>
  <c r="H337" i="6"/>
  <c r="I337" i="6"/>
  <c r="J337" i="6"/>
  <c r="K337" i="6"/>
  <c r="L337" i="6"/>
  <c r="M337" i="6"/>
  <c r="N337" i="6"/>
  <c r="O337" i="6"/>
  <c r="P337" i="6"/>
  <c r="B338" i="6"/>
  <c r="C338" i="6"/>
  <c r="D338" i="6"/>
  <c r="F338" i="6"/>
  <c r="G338" i="6"/>
  <c r="H338" i="6"/>
  <c r="I338" i="6"/>
  <c r="J338" i="6"/>
  <c r="K338" i="6"/>
  <c r="L338" i="6"/>
  <c r="M338" i="6"/>
  <c r="N338" i="6"/>
  <c r="O338" i="6"/>
  <c r="P338" i="6"/>
  <c r="B339" i="6"/>
  <c r="C339" i="6"/>
  <c r="D339" i="6"/>
  <c r="F339" i="6"/>
  <c r="G339" i="6"/>
  <c r="H339" i="6"/>
  <c r="I339" i="6"/>
  <c r="J339" i="6"/>
  <c r="K339" i="6"/>
  <c r="L339" i="6"/>
  <c r="M339" i="6"/>
  <c r="N339" i="6"/>
  <c r="O339" i="6"/>
  <c r="P339" i="6"/>
  <c r="B340" i="6"/>
  <c r="C340" i="6"/>
  <c r="D340" i="6"/>
  <c r="F340" i="6"/>
  <c r="G340" i="6"/>
  <c r="H340" i="6"/>
  <c r="I340" i="6"/>
  <c r="J340" i="6"/>
  <c r="K340" i="6"/>
  <c r="L340" i="6"/>
  <c r="M340" i="6"/>
  <c r="N340" i="6"/>
  <c r="O340" i="6"/>
  <c r="P340" i="6"/>
  <c r="B341" i="6"/>
  <c r="C341" i="6"/>
  <c r="D341" i="6"/>
  <c r="F341" i="6"/>
  <c r="G341" i="6"/>
  <c r="H341" i="6"/>
  <c r="I341" i="6"/>
  <c r="J341" i="6"/>
  <c r="K341" i="6"/>
  <c r="L341" i="6"/>
  <c r="M341" i="6"/>
  <c r="N341" i="6"/>
  <c r="O341" i="6"/>
  <c r="P341" i="6"/>
  <c r="B342" i="6"/>
  <c r="C342" i="6"/>
  <c r="D342" i="6"/>
  <c r="F342" i="6"/>
  <c r="G342" i="6"/>
  <c r="H342" i="6"/>
  <c r="I342" i="6"/>
  <c r="J342" i="6"/>
  <c r="K342" i="6"/>
  <c r="L342" i="6"/>
  <c r="M342" i="6"/>
  <c r="N342" i="6"/>
  <c r="O342" i="6"/>
  <c r="P342" i="6"/>
  <c r="B343" i="6"/>
  <c r="C343" i="6"/>
  <c r="D343" i="6"/>
  <c r="F343" i="6"/>
  <c r="G343" i="6"/>
  <c r="H343" i="6"/>
  <c r="I343" i="6"/>
  <c r="J343" i="6"/>
  <c r="K343" i="6"/>
  <c r="L343" i="6"/>
  <c r="M343" i="6"/>
  <c r="N343" i="6"/>
  <c r="O343" i="6"/>
  <c r="P343" i="6"/>
  <c r="B344" i="6"/>
  <c r="C344" i="6"/>
  <c r="D344" i="6"/>
  <c r="F344" i="6"/>
  <c r="G344" i="6"/>
  <c r="H344" i="6"/>
  <c r="I344" i="6"/>
  <c r="J344" i="6"/>
  <c r="K344" i="6"/>
  <c r="L344" i="6"/>
  <c r="M344" i="6"/>
  <c r="N344" i="6"/>
  <c r="O344" i="6"/>
  <c r="P344" i="6"/>
  <c r="B345" i="6"/>
  <c r="C345" i="6"/>
  <c r="D345" i="6"/>
  <c r="F345" i="6"/>
  <c r="G345" i="6"/>
  <c r="H345" i="6"/>
  <c r="I345" i="6"/>
  <c r="J345" i="6"/>
  <c r="K345" i="6"/>
  <c r="L345" i="6"/>
  <c r="M345" i="6"/>
  <c r="N345" i="6"/>
  <c r="O345" i="6"/>
  <c r="P345" i="6"/>
  <c r="B346" i="6"/>
  <c r="C346" i="6"/>
  <c r="D346" i="6"/>
  <c r="F346" i="6"/>
  <c r="G346" i="6"/>
  <c r="H346" i="6"/>
  <c r="I346" i="6"/>
  <c r="J346" i="6"/>
  <c r="K346" i="6"/>
  <c r="L346" i="6"/>
  <c r="M346" i="6"/>
  <c r="N346" i="6"/>
  <c r="O346" i="6"/>
  <c r="P346" i="6"/>
  <c r="B347" i="6"/>
  <c r="C347" i="6"/>
  <c r="D347" i="6"/>
  <c r="F347" i="6"/>
  <c r="G347" i="6"/>
  <c r="H347" i="6"/>
  <c r="I347" i="6"/>
  <c r="J347" i="6"/>
  <c r="K347" i="6"/>
  <c r="L347" i="6"/>
  <c r="M347" i="6"/>
  <c r="N347" i="6"/>
  <c r="O347" i="6"/>
  <c r="P347" i="6"/>
  <c r="C348" i="6"/>
  <c r="D348" i="6"/>
  <c r="F348" i="6"/>
  <c r="G348" i="6"/>
  <c r="B349" i="6"/>
  <c r="C349" i="6"/>
  <c r="D349" i="6"/>
  <c r="F349" i="6"/>
  <c r="G349" i="6"/>
  <c r="H349" i="6"/>
  <c r="I349" i="6"/>
  <c r="J349" i="6"/>
  <c r="K349" i="6"/>
  <c r="L349" i="6"/>
  <c r="M349" i="6"/>
  <c r="N349" i="6"/>
  <c r="O349" i="6"/>
  <c r="P349" i="6"/>
  <c r="B350" i="6"/>
  <c r="C350" i="6"/>
  <c r="D350" i="6"/>
  <c r="F350" i="6"/>
  <c r="G350" i="6"/>
  <c r="H350" i="6"/>
  <c r="I350" i="6"/>
  <c r="J350" i="6"/>
  <c r="K350" i="6"/>
  <c r="L350" i="6"/>
  <c r="M350" i="6"/>
  <c r="N350" i="6"/>
  <c r="O350" i="6"/>
  <c r="P350" i="6"/>
  <c r="C246" i="6"/>
  <c r="D246" i="6"/>
  <c r="F246" i="6"/>
  <c r="G246" i="6"/>
  <c r="B247" i="6"/>
  <c r="C247" i="6"/>
  <c r="D247" i="6"/>
  <c r="F247" i="6"/>
  <c r="G247" i="6"/>
  <c r="H247" i="6"/>
  <c r="I247" i="6"/>
  <c r="J247" i="6"/>
  <c r="K247" i="6"/>
  <c r="L247" i="6"/>
  <c r="M247" i="6"/>
  <c r="N247" i="6"/>
  <c r="O247" i="6"/>
  <c r="P247" i="6"/>
  <c r="C248" i="6"/>
  <c r="D248" i="6"/>
  <c r="F248" i="6"/>
  <c r="G248" i="6"/>
  <c r="C249" i="6"/>
  <c r="D249" i="6"/>
  <c r="F249" i="6"/>
  <c r="G249" i="6"/>
  <c r="C250" i="6"/>
  <c r="D250" i="6"/>
  <c r="F250" i="6"/>
  <c r="G250" i="6"/>
  <c r="C251" i="6"/>
  <c r="D251" i="6"/>
  <c r="F251" i="6"/>
  <c r="G251" i="6"/>
  <c r="C252" i="6"/>
  <c r="D252" i="6"/>
  <c r="F252" i="6"/>
  <c r="G252" i="6"/>
  <c r="C253" i="6"/>
  <c r="D253" i="6"/>
  <c r="F253" i="6"/>
  <c r="G253" i="6"/>
  <c r="C254" i="6"/>
  <c r="D254" i="6"/>
  <c r="F254" i="6"/>
  <c r="G254" i="6"/>
  <c r="C255" i="6"/>
  <c r="D255" i="6"/>
  <c r="F255" i="6"/>
  <c r="G255" i="6"/>
  <c r="C256" i="6"/>
  <c r="D256" i="6"/>
  <c r="F256" i="6"/>
  <c r="G256" i="6"/>
  <c r="C257" i="6"/>
  <c r="D257" i="6"/>
  <c r="F257" i="6"/>
  <c r="G257" i="6"/>
  <c r="C258" i="6"/>
  <c r="D258" i="6"/>
  <c r="F258" i="6"/>
  <c r="G258" i="6"/>
  <c r="C259" i="6"/>
  <c r="D259" i="6"/>
  <c r="F259" i="6"/>
  <c r="G259" i="6"/>
  <c r="C260" i="6"/>
  <c r="D260" i="6"/>
  <c r="F260" i="6"/>
  <c r="G260" i="6"/>
  <c r="C261" i="6"/>
  <c r="D261" i="6"/>
  <c r="F261" i="6"/>
  <c r="G261" i="6"/>
  <c r="C262" i="6"/>
  <c r="D262" i="6"/>
  <c r="F262" i="6"/>
  <c r="G262" i="6"/>
  <c r="C263" i="6"/>
  <c r="D263" i="6"/>
  <c r="F263" i="6"/>
  <c r="G263" i="6"/>
  <c r="C264" i="6"/>
  <c r="D264" i="6"/>
  <c r="F264" i="6"/>
  <c r="G264" i="6"/>
  <c r="B265" i="6"/>
  <c r="C265" i="6"/>
  <c r="D265" i="6"/>
  <c r="F265" i="6"/>
  <c r="G265" i="6"/>
  <c r="H265" i="6"/>
  <c r="I265" i="6"/>
  <c r="J265" i="6"/>
  <c r="K265" i="6"/>
  <c r="L265" i="6"/>
  <c r="M265" i="6"/>
  <c r="N265" i="6"/>
  <c r="O265" i="6"/>
  <c r="P265" i="6"/>
  <c r="C266" i="6"/>
  <c r="D266" i="6"/>
  <c r="F266" i="6"/>
  <c r="G266" i="6"/>
  <c r="B267" i="6"/>
  <c r="C267" i="6"/>
  <c r="D267" i="6"/>
  <c r="F267" i="6"/>
  <c r="G267" i="6"/>
  <c r="H267" i="6"/>
  <c r="I267" i="6"/>
  <c r="J267" i="6"/>
  <c r="K267" i="6"/>
  <c r="L267" i="6"/>
  <c r="M267" i="6"/>
  <c r="N267" i="6"/>
  <c r="O267" i="6"/>
  <c r="P267" i="6"/>
  <c r="B268" i="6"/>
  <c r="C268" i="6"/>
  <c r="D268" i="6"/>
  <c r="F268" i="6"/>
  <c r="G268" i="6"/>
  <c r="H268" i="6"/>
  <c r="I268" i="6"/>
  <c r="J268" i="6"/>
  <c r="K268" i="6"/>
  <c r="L268" i="6"/>
  <c r="M268" i="6"/>
  <c r="N268" i="6"/>
  <c r="O268" i="6"/>
  <c r="P268" i="6"/>
  <c r="C269" i="6"/>
  <c r="D269" i="6"/>
  <c r="F269" i="6"/>
  <c r="G269" i="6"/>
  <c r="C270" i="6"/>
  <c r="D270" i="6"/>
  <c r="F270" i="6"/>
  <c r="G270" i="6"/>
  <c r="C271" i="6"/>
  <c r="D271" i="6"/>
  <c r="F271" i="6"/>
  <c r="G271" i="6"/>
  <c r="C272" i="6"/>
  <c r="D272" i="6"/>
  <c r="F272" i="6"/>
  <c r="G272" i="6"/>
  <c r="C273" i="6"/>
  <c r="D273" i="6"/>
  <c r="F273" i="6"/>
  <c r="G273" i="6"/>
  <c r="C274" i="6"/>
  <c r="D274" i="6"/>
  <c r="F274" i="6"/>
  <c r="G274" i="6"/>
  <c r="C275" i="6"/>
  <c r="D275" i="6"/>
  <c r="F275" i="6"/>
  <c r="G275" i="6"/>
  <c r="C276" i="6"/>
  <c r="D276" i="6"/>
  <c r="F276" i="6"/>
  <c r="G276" i="6"/>
  <c r="B277" i="6"/>
  <c r="C277" i="6"/>
  <c r="D277" i="6"/>
  <c r="F277" i="6"/>
  <c r="G277" i="6"/>
  <c r="H277" i="6"/>
  <c r="I277" i="6"/>
  <c r="J277" i="6"/>
  <c r="K277" i="6"/>
  <c r="L277" i="6"/>
  <c r="M277" i="6"/>
  <c r="N277" i="6"/>
  <c r="O277" i="6"/>
  <c r="P277" i="6"/>
  <c r="C278" i="6"/>
  <c r="D278" i="6"/>
  <c r="F278" i="6"/>
  <c r="G278" i="6"/>
  <c r="C279" i="6"/>
  <c r="D279" i="6"/>
  <c r="F279" i="6"/>
  <c r="G279" i="6"/>
  <c r="C280" i="6"/>
  <c r="D280" i="6"/>
  <c r="F280" i="6"/>
  <c r="G280" i="6"/>
  <c r="C281" i="6"/>
  <c r="D281" i="6"/>
  <c r="F281" i="6"/>
  <c r="G281" i="6"/>
  <c r="B282" i="6"/>
  <c r="C282" i="6"/>
  <c r="D282" i="6"/>
  <c r="F282" i="6"/>
  <c r="G282" i="6"/>
  <c r="H282" i="6"/>
  <c r="I282" i="6"/>
  <c r="J282" i="6"/>
  <c r="K282" i="6"/>
  <c r="L282" i="6"/>
  <c r="M282" i="6"/>
  <c r="N282" i="6"/>
  <c r="O282" i="6"/>
  <c r="P282" i="6"/>
  <c r="C283" i="6"/>
  <c r="D283" i="6"/>
  <c r="F283" i="6"/>
  <c r="G283" i="6"/>
  <c r="B284" i="6"/>
  <c r="C284" i="6"/>
  <c r="D284" i="6"/>
  <c r="F284" i="6"/>
  <c r="G284" i="6"/>
  <c r="H284" i="6"/>
  <c r="I284" i="6"/>
  <c r="J284" i="6"/>
  <c r="K284" i="6"/>
  <c r="L284" i="6"/>
  <c r="M284" i="6"/>
  <c r="N284" i="6"/>
  <c r="O284" i="6"/>
  <c r="P284" i="6"/>
  <c r="C285" i="6"/>
  <c r="D285" i="6"/>
  <c r="F285" i="6"/>
  <c r="G285" i="6"/>
  <c r="C286" i="6"/>
  <c r="D286" i="6"/>
  <c r="F286" i="6"/>
  <c r="G286" i="6"/>
  <c r="C287" i="6"/>
  <c r="D287" i="6"/>
  <c r="F287" i="6"/>
  <c r="G287" i="6"/>
  <c r="C288" i="6"/>
  <c r="D288" i="6"/>
  <c r="F288" i="6"/>
  <c r="G288" i="6"/>
  <c r="C289" i="6"/>
  <c r="D289" i="6"/>
  <c r="F289" i="6"/>
  <c r="G289" i="6"/>
  <c r="B290" i="6"/>
  <c r="C290" i="6"/>
  <c r="D290" i="6"/>
  <c r="F290" i="6"/>
  <c r="G290" i="6"/>
  <c r="H290" i="6"/>
  <c r="I290" i="6"/>
  <c r="J290" i="6"/>
  <c r="K290" i="6"/>
  <c r="L290" i="6"/>
  <c r="M290" i="6"/>
  <c r="N290" i="6"/>
  <c r="O290" i="6"/>
  <c r="P290" i="6"/>
  <c r="C291" i="6"/>
  <c r="D291" i="6"/>
  <c r="F291" i="6"/>
  <c r="G291" i="6"/>
  <c r="B292" i="6"/>
  <c r="C292" i="6"/>
  <c r="D292" i="6"/>
  <c r="F292" i="6"/>
  <c r="G292" i="6"/>
  <c r="H292" i="6"/>
  <c r="I292" i="6"/>
  <c r="J292" i="6"/>
  <c r="K292" i="6"/>
  <c r="L292" i="6"/>
  <c r="M292" i="6"/>
  <c r="N292" i="6"/>
  <c r="O292" i="6"/>
  <c r="P292" i="6"/>
  <c r="B293" i="6"/>
  <c r="C293" i="6"/>
  <c r="D293" i="6"/>
  <c r="F293" i="6"/>
  <c r="G293" i="6"/>
  <c r="H293" i="6"/>
  <c r="I293" i="6"/>
  <c r="J293" i="6"/>
  <c r="K293" i="6"/>
  <c r="L293" i="6"/>
  <c r="M293" i="6"/>
  <c r="N293" i="6"/>
  <c r="O293" i="6"/>
  <c r="P293" i="6"/>
  <c r="C294" i="6"/>
  <c r="D294" i="6"/>
  <c r="F294" i="6"/>
  <c r="G294" i="6"/>
  <c r="B295" i="6"/>
  <c r="C295" i="6"/>
  <c r="D295" i="6"/>
  <c r="F295" i="6"/>
  <c r="G295" i="6"/>
  <c r="H295" i="6"/>
  <c r="I295" i="6"/>
  <c r="J295" i="6"/>
  <c r="K295" i="6"/>
  <c r="L295" i="6"/>
  <c r="M295" i="6"/>
  <c r="N295" i="6"/>
  <c r="O295" i="6"/>
  <c r="P295" i="6"/>
  <c r="B296" i="6"/>
  <c r="C296" i="6"/>
  <c r="D296" i="6"/>
  <c r="F296" i="6"/>
  <c r="G296" i="6"/>
  <c r="H296" i="6"/>
  <c r="I296" i="6"/>
  <c r="J296" i="6"/>
  <c r="K296" i="6"/>
  <c r="L296" i="6"/>
  <c r="M296" i="6"/>
  <c r="N296" i="6"/>
  <c r="O296" i="6"/>
  <c r="P296" i="6"/>
  <c r="C297" i="6"/>
  <c r="D297" i="6"/>
  <c r="F297" i="6"/>
  <c r="G297" i="6"/>
  <c r="C298" i="6"/>
  <c r="D298" i="6"/>
  <c r="F298" i="6"/>
  <c r="G298" i="6"/>
  <c r="B299" i="6"/>
  <c r="C299" i="6"/>
  <c r="D299" i="6"/>
  <c r="F299" i="6"/>
  <c r="G299" i="6"/>
  <c r="H299" i="6"/>
  <c r="I299" i="6"/>
  <c r="J299" i="6"/>
  <c r="K299" i="6"/>
  <c r="L299" i="6"/>
  <c r="M299" i="6"/>
  <c r="N299" i="6"/>
  <c r="O299" i="6"/>
  <c r="P299" i="6"/>
  <c r="B300" i="6"/>
  <c r="C300" i="6"/>
  <c r="D300" i="6"/>
  <c r="F300" i="6"/>
  <c r="G300" i="6"/>
  <c r="H300" i="6"/>
  <c r="I300" i="6"/>
  <c r="J300" i="6"/>
  <c r="K300" i="6"/>
  <c r="L300" i="6"/>
  <c r="M300" i="6"/>
  <c r="N300" i="6"/>
  <c r="O300" i="6"/>
  <c r="P300" i="6"/>
  <c r="B301" i="6"/>
  <c r="C301" i="6"/>
  <c r="D301" i="6"/>
  <c r="F301" i="6"/>
  <c r="G301" i="6"/>
  <c r="H301" i="6"/>
  <c r="I301" i="6"/>
  <c r="J301" i="6"/>
  <c r="K301" i="6"/>
  <c r="L301" i="6"/>
  <c r="M301" i="6"/>
  <c r="N301" i="6"/>
  <c r="O301" i="6"/>
  <c r="P301" i="6"/>
  <c r="C302" i="6"/>
  <c r="D302" i="6"/>
  <c r="F302" i="6"/>
  <c r="G302" i="6"/>
  <c r="C303" i="6"/>
  <c r="D303" i="6"/>
  <c r="F303" i="6"/>
  <c r="G303" i="6"/>
  <c r="B304" i="6"/>
  <c r="C304" i="6"/>
  <c r="D304" i="6"/>
  <c r="F304" i="6"/>
  <c r="G304" i="6"/>
  <c r="H304" i="6"/>
  <c r="I304" i="6"/>
  <c r="J304" i="6"/>
  <c r="K304" i="6"/>
  <c r="L304" i="6"/>
  <c r="M304" i="6"/>
  <c r="N304" i="6"/>
  <c r="O304" i="6"/>
  <c r="P304" i="6"/>
  <c r="E2" i="13"/>
  <c r="F4" i="13"/>
  <c r="H4" i="13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C2" i="9"/>
  <c r="C3" i="9"/>
  <c r="C4" i="9"/>
  <c r="C5" i="9"/>
  <c r="C6" i="9"/>
  <c r="C7" i="9"/>
  <c r="C8" i="9"/>
  <c r="C9" i="9"/>
  <c r="C10" i="9"/>
  <c r="C11" i="9"/>
  <c r="C12" i="9"/>
  <c r="D2" i="9"/>
  <c r="D3" i="9"/>
  <c r="D4" i="9"/>
  <c r="D5" i="9"/>
  <c r="D6" i="9"/>
  <c r="D7" i="9"/>
  <c r="D8" i="9"/>
  <c r="D9" i="9"/>
  <c r="D10" i="9"/>
  <c r="D11" i="9"/>
  <c r="D12" i="9"/>
  <c r="E2" i="9"/>
  <c r="E3" i="9"/>
  <c r="E4" i="9"/>
  <c r="E5" i="9"/>
  <c r="E6" i="9"/>
  <c r="E7" i="9"/>
  <c r="E8" i="9"/>
  <c r="E9" i="9"/>
  <c r="E10" i="9"/>
  <c r="E11" i="9"/>
  <c r="E12" i="9"/>
  <c r="F3" i="9"/>
  <c r="F4" i="9"/>
  <c r="F5" i="9"/>
  <c r="F6" i="9"/>
  <c r="F7" i="9"/>
  <c r="F8" i="9"/>
  <c r="F9" i="9"/>
  <c r="F10" i="9"/>
  <c r="F11" i="9"/>
  <c r="F12" i="9"/>
  <c r="G2" i="9"/>
  <c r="G3" i="9"/>
  <c r="G4" i="9"/>
  <c r="G5" i="9"/>
  <c r="G6" i="9"/>
  <c r="G7" i="9"/>
  <c r="G8" i="9"/>
  <c r="G9" i="9"/>
  <c r="G10" i="9"/>
  <c r="G11" i="9"/>
  <c r="G12" i="9"/>
  <c r="H2" i="9"/>
  <c r="H3" i="9"/>
  <c r="H4" i="9"/>
  <c r="H5" i="9"/>
  <c r="H6" i="9"/>
  <c r="H7" i="9"/>
  <c r="H8" i="9"/>
  <c r="H9" i="9"/>
  <c r="H10" i="9"/>
  <c r="H11" i="9"/>
  <c r="H12" i="9"/>
  <c r="I2" i="9"/>
  <c r="I3" i="9"/>
  <c r="I4" i="9"/>
  <c r="I5" i="9"/>
  <c r="I6" i="9"/>
  <c r="I7" i="9"/>
  <c r="I8" i="9"/>
  <c r="I9" i="9"/>
  <c r="I10" i="9"/>
  <c r="I11" i="9"/>
  <c r="I12" i="9"/>
  <c r="K2" i="9"/>
  <c r="K3" i="9"/>
  <c r="K4" i="9"/>
  <c r="K5" i="9"/>
  <c r="K6" i="9"/>
  <c r="K7" i="9"/>
  <c r="K8" i="9"/>
  <c r="K9" i="9"/>
  <c r="K10" i="9"/>
  <c r="K11" i="9"/>
  <c r="K12" i="9"/>
  <c r="L2" i="9"/>
  <c r="L3" i="9"/>
  <c r="L4" i="9"/>
  <c r="L5" i="9"/>
  <c r="L6" i="9"/>
  <c r="L7" i="9"/>
  <c r="L8" i="9"/>
  <c r="L9" i="9"/>
  <c r="L10" i="9"/>
  <c r="L11" i="9"/>
  <c r="L12" i="9"/>
  <c r="M2" i="9"/>
  <c r="M3" i="9"/>
  <c r="M4" i="9"/>
  <c r="M5" i="9"/>
  <c r="M6" i="9"/>
  <c r="M7" i="9"/>
  <c r="M8" i="9"/>
  <c r="M9" i="9"/>
  <c r="M10" i="9"/>
  <c r="M11" i="9"/>
  <c r="M12" i="9"/>
  <c r="N2" i="9"/>
  <c r="N3" i="9"/>
  <c r="N4" i="9"/>
  <c r="N5" i="9"/>
  <c r="N6" i="9"/>
  <c r="N7" i="9"/>
  <c r="N8" i="9"/>
  <c r="N9" i="9"/>
  <c r="N10" i="9"/>
  <c r="N11" i="9"/>
  <c r="N12" i="9"/>
  <c r="O12" i="9"/>
  <c r="G4" i="13"/>
  <c r="E4" i="13"/>
  <c r="O13" i="9"/>
  <c r="O2" i="9"/>
  <c r="O6" i="9"/>
  <c r="C6" i="10"/>
  <c r="E2" i="10"/>
  <c r="A2" i="11"/>
  <c r="B4" i="11"/>
  <c r="C4" i="11"/>
  <c r="C5" i="11"/>
  <c r="D4" i="11"/>
  <c r="D5" i="11"/>
  <c r="E4" i="11"/>
  <c r="E5" i="11"/>
  <c r="F4" i="11"/>
  <c r="F5" i="11"/>
  <c r="G4" i="11"/>
  <c r="G5" i="11"/>
  <c r="H4" i="11"/>
  <c r="H5" i="11"/>
  <c r="I5" i="11"/>
  <c r="J5" i="11"/>
  <c r="K4" i="11"/>
  <c r="K5" i="11"/>
  <c r="L4" i="11"/>
  <c r="L5" i="11"/>
  <c r="M4" i="11"/>
  <c r="M5" i="11"/>
  <c r="B5" i="11"/>
  <c r="H3" i="11"/>
  <c r="K3" i="11"/>
  <c r="L3" i="11"/>
  <c r="M3" i="11"/>
  <c r="C3" i="11"/>
  <c r="D3" i="11"/>
  <c r="E3" i="11"/>
  <c r="F3" i="11"/>
  <c r="G3" i="11"/>
  <c r="B3" i="11"/>
  <c r="A4" i="11"/>
  <c r="B1" i="11"/>
  <c r="C1" i="11"/>
  <c r="D1" i="11"/>
  <c r="E1" i="11"/>
  <c r="F1" i="11"/>
  <c r="G1" i="11"/>
  <c r="H1" i="11"/>
  <c r="I1" i="11"/>
  <c r="J1" i="11"/>
  <c r="K1" i="11"/>
  <c r="L1" i="11"/>
  <c r="M1" i="11"/>
  <c r="A1" i="11"/>
  <c r="O4" i="9"/>
  <c r="C4" i="10"/>
  <c r="C2" i="10"/>
  <c r="O3" i="9"/>
  <c r="C3" i="10"/>
  <c r="D3" i="10"/>
  <c r="D4" i="10"/>
  <c r="O5" i="9"/>
  <c r="C5" i="10"/>
  <c r="D5" i="10"/>
  <c r="D6" i="10"/>
  <c r="O7" i="9"/>
  <c r="C7" i="10"/>
  <c r="D7" i="10"/>
  <c r="O8" i="9"/>
  <c r="C8" i="10"/>
  <c r="D8" i="10"/>
  <c r="O9" i="9"/>
  <c r="C9" i="10"/>
  <c r="D9" i="10"/>
  <c r="O10" i="9"/>
  <c r="C10" i="10"/>
  <c r="D10" i="10"/>
  <c r="C11" i="10"/>
  <c r="F2" i="10"/>
  <c r="F3" i="10"/>
  <c r="G3" i="10"/>
  <c r="N10" i="10"/>
  <c r="N11" i="10"/>
  <c r="M9" i="10"/>
  <c r="M10" i="10"/>
  <c r="L8" i="10"/>
  <c r="L9" i="10"/>
  <c r="K7" i="10"/>
  <c r="K8" i="10"/>
  <c r="J6" i="10"/>
  <c r="J7" i="10"/>
  <c r="I5" i="10"/>
  <c r="I6" i="10"/>
  <c r="H4" i="10"/>
  <c r="H5" i="10"/>
  <c r="G4" i="10"/>
  <c r="E3" i="10"/>
  <c r="E4" i="10"/>
  <c r="E5" i="10"/>
  <c r="E6" i="10"/>
  <c r="E7" i="10"/>
  <c r="E8" i="10"/>
  <c r="E9" i="10"/>
  <c r="E10" i="10"/>
  <c r="E11" i="10"/>
  <c r="O11" i="9"/>
  <c r="C107" i="6"/>
  <c r="D107" i="6"/>
  <c r="G107" i="6"/>
  <c r="C108" i="6"/>
  <c r="D108" i="6"/>
  <c r="G108" i="6"/>
  <c r="B109" i="6"/>
  <c r="C109" i="6"/>
  <c r="D109" i="6"/>
  <c r="G109" i="6"/>
  <c r="H109" i="6"/>
  <c r="I109" i="6"/>
  <c r="J109" i="6"/>
  <c r="K109" i="6"/>
  <c r="L109" i="6"/>
  <c r="M109" i="6"/>
  <c r="N109" i="6"/>
  <c r="O109" i="6"/>
  <c r="P109" i="6"/>
  <c r="B110" i="6"/>
  <c r="C110" i="6"/>
  <c r="D110" i="6"/>
  <c r="G110" i="6"/>
  <c r="H110" i="6"/>
  <c r="I110" i="6"/>
  <c r="J110" i="6"/>
  <c r="K110" i="6"/>
  <c r="L110" i="6"/>
  <c r="M110" i="6"/>
  <c r="N110" i="6"/>
  <c r="O110" i="6"/>
  <c r="P110" i="6"/>
  <c r="B111" i="6"/>
  <c r="C111" i="6"/>
  <c r="D111" i="6"/>
  <c r="G111" i="6"/>
  <c r="H111" i="6"/>
  <c r="I111" i="6"/>
  <c r="J111" i="6"/>
  <c r="K111" i="6"/>
  <c r="L111" i="6"/>
  <c r="M111" i="6"/>
  <c r="N111" i="6"/>
  <c r="O111" i="6"/>
  <c r="P111" i="6"/>
  <c r="B112" i="6"/>
  <c r="C112" i="6"/>
  <c r="D112" i="6"/>
  <c r="G112" i="6"/>
  <c r="H112" i="6"/>
  <c r="I112" i="6"/>
  <c r="J112" i="6"/>
  <c r="K112" i="6"/>
  <c r="L112" i="6"/>
  <c r="M112" i="6"/>
  <c r="N112" i="6"/>
  <c r="O112" i="6"/>
  <c r="P112" i="6"/>
  <c r="C113" i="6"/>
  <c r="D113" i="6"/>
  <c r="G113" i="6"/>
  <c r="C114" i="6"/>
  <c r="D114" i="6"/>
  <c r="G114" i="6"/>
  <c r="B115" i="6"/>
  <c r="C115" i="6"/>
  <c r="D115" i="6"/>
  <c r="G115" i="6"/>
  <c r="H115" i="6"/>
  <c r="I115" i="6"/>
  <c r="J115" i="6"/>
  <c r="K115" i="6"/>
  <c r="L115" i="6"/>
  <c r="M115" i="6"/>
  <c r="N115" i="6"/>
  <c r="O115" i="6"/>
  <c r="P115" i="6"/>
  <c r="C116" i="6"/>
  <c r="D116" i="6"/>
  <c r="G116" i="6"/>
  <c r="C117" i="6"/>
  <c r="D117" i="6"/>
  <c r="G117" i="6"/>
  <c r="B118" i="6"/>
  <c r="C118" i="6"/>
  <c r="D118" i="6"/>
  <c r="G118" i="6"/>
  <c r="H118" i="6"/>
  <c r="I118" i="6"/>
  <c r="J118" i="6"/>
  <c r="K118" i="6"/>
  <c r="L118" i="6"/>
  <c r="M118" i="6"/>
  <c r="N118" i="6"/>
  <c r="O118" i="6"/>
  <c r="P118" i="6"/>
  <c r="C119" i="6"/>
  <c r="D119" i="6"/>
  <c r="G119" i="6"/>
  <c r="C120" i="6"/>
  <c r="D120" i="6"/>
  <c r="G120" i="6"/>
  <c r="C121" i="6"/>
  <c r="D121" i="6"/>
  <c r="G121" i="6"/>
  <c r="B122" i="6"/>
  <c r="C122" i="6"/>
  <c r="D122" i="6"/>
  <c r="G122" i="6"/>
  <c r="H122" i="6"/>
  <c r="I122" i="6"/>
  <c r="J122" i="6"/>
  <c r="K122" i="6"/>
  <c r="L122" i="6"/>
  <c r="M122" i="6"/>
  <c r="N122" i="6"/>
  <c r="O122" i="6"/>
  <c r="P122" i="6"/>
  <c r="C123" i="6"/>
  <c r="D123" i="6"/>
  <c r="G123" i="6"/>
  <c r="C124" i="6"/>
  <c r="D124" i="6"/>
  <c r="G124" i="6"/>
  <c r="C125" i="6"/>
  <c r="D125" i="6"/>
  <c r="G125" i="6"/>
  <c r="C126" i="6"/>
  <c r="D126" i="6"/>
  <c r="G126" i="6"/>
  <c r="C127" i="6"/>
  <c r="D127" i="6"/>
  <c r="G127" i="6"/>
  <c r="C128" i="6"/>
  <c r="D128" i="6"/>
  <c r="G128" i="6"/>
  <c r="C129" i="6"/>
  <c r="D129" i="6"/>
  <c r="G129" i="6"/>
  <c r="C130" i="6"/>
  <c r="D130" i="6"/>
  <c r="G130" i="6"/>
  <c r="C131" i="6"/>
  <c r="D131" i="6"/>
  <c r="G131" i="6"/>
  <c r="C132" i="6"/>
  <c r="D132" i="6"/>
  <c r="G132" i="6"/>
  <c r="C133" i="6"/>
  <c r="D133" i="6"/>
  <c r="G133" i="6"/>
  <c r="C134" i="6"/>
  <c r="D134" i="6"/>
  <c r="G134" i="6"/>
  <c r="C135" i="6"/>
  <c r="D135" i="6"/>
  <c r="G135" i="6"/>
  <c r="C136" i="6"/>
  <c r="D136" i="6"/>
  <c r="G136" i="6"/>
  <c r="C137" i="6"/>
  <c r="D137" i="6"/>
  <c r="G137" i="6"/>
  <c r="C138" i="6"/>
  <c r="D138" i="6"/>
  <c r="G138" i="6"/>
  <c r="C139" i="6"/>
  <c r="D139" i="6"/>
  <c r="G139" i="6"/>
  <c r="C140" i="6"/>
  <c r="D140" i="6"/>
  <c r="G140" i="6"/>
  <c r="C141" i="6"/>
  <c r="D141" i="6"/>
  <c r="G141" i="6"/>
  <c r="C142" i="6"/>
  <c r="D142" i="6"/>
  <c r="G142" i="6"/>
  <c r="C143" i="6"/>
  <c r="D143" i="6"/>
  <c r="G143" i="6"/>
  <c r="C144" i="6"/>
  <c r="D144" i="6"/>
  <c r="G144" i="6"/>
  <c r="C145" i="6"/>
  <c r="D145" i="6"/>
  <c r="G145" i="6"/>
  <c r="C146" i="6"/>
  <c r="D146" i="6"/>
  <c r="G146" i="6"/>
  <c r="C147" i="6"/>
  <c r="D147" i="6"/>
  <c r="G147" i="6"/>
  <c r="C148" i="6"/>
  <c r="D148" i="6"/>
  <c r="G148" i="6"/>
  <c r="C149" i="6"/>
  <c r="D149" i="6"/>
  <c r="G149" i="6"/>
  <c r="C150" i="6"/>
  <c r="D150" i="6"/>
  <c r="G150" i="6"/>
  <c r="B151" i="6"/>
  <c r="C151" i="6"/>
  <c r="D151" i="6"/>
  <c r="G151" i="6"/>
  <c r="H151" i="6"/>
  <c r="I151" i="6"/>
  <c r="J151" i="6"/>
  <c r="K151" i="6"/>
  <c r="L151" i="6"/>
  <c r="M151" i="6"/>
  <c r="N151" i="6"/>
  <c r="O151" i="6"/>
  <c r="P151" i="6"/>
  <c r="C152" i="6"/>
  <c r="D152" i="6"/>
  <c r="G152" i="6"/>
  <c r="C153" i="6"/>
  <c r="D153" i="6"/>
  <c r="G153" i="6"/>
  <c r="C154" i="6"/>
  <c r="D154" i="6"/>
  <c r="G154" i="6"/>
  <c r="C155" i="6"/>
  <c r="D155" i="6"/>
  <c r="G155" i="6"/>
  <c r="C156" i="6"/>
  <c r="D156" i="6"/>
  <c r="G156" i="6"/>
  <c r="C157" i="6"/>
  <c r="D157" i="6"/>
  <c r="G157" i="6"/>
  <c r="B158" i="6"/>
  <c r="C158" i="6"/>
  <c r="D158" i="6"/>
  <c r="G158" i="6"/>
  <c r="H158" i="6"/>
  <c r="I158" i="6"/>
  <c r="J158" i="6"/>
  <c r="K158" i="6"/>
  <c r="L158" i="6"/>
  <c r="M158" i="6"/>
  <c r="N158" i="6"/>
  <c r="O158" i="6"/>
  <c r="P158" i="6"/>
  <c r="C159" i="6"/>
  <c r="D159" i="6"/>
  <c r="G159" i="6"/>
  <c r="C160" i="6"/>
  <c r="D160" i="6"/>
  <c r="G160" i="6"/>
  <c r="C161" i="6"/>
  <c r="D161" i="6"/>
  <c r="G161" i="6"/>
  <c r="C162" i="6"/>
  <c r="D162" i="6"/>
  <c r="G162" i="6"/>
  <c r="C163" i="6"/>
  <c r="D163" i="6"/>
  <c r="G163" i="6"/>
  <c r="C164" i="6"/>
  <c r="D164" i="6"/>
  <c r="G164" i="6"/>
  <c r="C165" i="6"/>
  <c r="D165" i="6"/>
  <c r="G165" i="6"/>
  <c r="C166" i="6"/>
  <c r="D166" i="6"/>
  <c r="G166" i="6"/>
  <c r="C167" i="6"/>
  <c r="D167" i="6"/>
  <c r="G167" i="6"/>
  <c r="C168" i="6"/>
  <c r="D168" i="6"/>
  <c r="G168" i="6"/>
  <c r="B169" i="6"/>
  <c r="C169" i="6"/>
  <c r="D169" i="6"/>
  <c r="G169" i="6"/>
  <c r="H169" i="6"/>
  <c r="I169" i="6"/>
  <c r="J169" i="6"/>
  <c r="K169" i="6"/>
  <c r="L169" i="6"/>
  <c r="M169" i="6"/>
  <c r="N169" i="6"/>
  <c r="O169" i="6"/>
  <c r="P169" i="6"/>
  <c r="C170" i="6"/>
  <c r="D170" i="6"/>
  <c r="G170" i="6"/>
  <c r="C171" i="6"/>
  <c r="D171" i="6"/>
  <c r="G171" i="6"/>
  <c r="C172" i="6"/>
  <c r="D172" i="6"/>
  <c r="G172" i="6"/>
  <c r="C173" i="6"/>
  <c r="D173" i="6"/>
  <c r="G173" i="6"/>
  <c r="C174" i="6"/>
  <c r="D174" i="6"/>
  <c r="G174" i="6"/>
  <c r="C175" i="6"/>
  <c r="D175" i="6"/>
  <c r="G175" i="6"/>
  <c r="C176" i="6"/>
  <c r="D176" i="6"/>
  <c r="G176" i="6"/>
  <c r="C177" i="6"/>
  <c r="D177" i="6"/>
  <c r="G177" i="6"/>
  <c r="B178" i="6"/>
  <c r="C178" i="6"/>
  <c r="D178" i="6"/>
  <c r="G178" i="6"/>
  <c r="H178" i="6"/>
  <c r="I178" i="6"/>
  <c r="J178" i="6"/>
  <c r="K178" i="6"/>
  <c r="L178" i="6"/>
  <c r="M178" i="6"/>
  <c r="N178" i="6"/>
  <c r="O178" i="6"/>
  <c r="P178" i="6"/>
  <c r="C179" i="6"/>
  <c r="D179" i="6"/>
  <c r="G179" i="6"/>
  <c r="B180" i="6"/>
  <c r="C180" i="6"/>
  <c r="D180" i="6"/>
  <c r="G180" i="6"/>
  <c r="H180" i="6"/>
  <c r="I180" i="6"/>
  <c r="J180" i="6"/>
  <c r="K180" i="6"/>
  <c r="L180" i="6"/>
  <c r="M180" i="6"/>
  <c r="N180" i="6"/>
  <c r="O180" i="6"/>
  <c r="P180" i="6"/>
  <c r="C181" i="6"/>
  <c r="D181" i="6"/>
  <c r="G181" i="6"/>
  <c r="C182" i="6"/>
  <c r="D182" i="6"/>
  <c r="G182" i="6"/>
  <c r="C183" i="6"/>
  <c r="D183" i="6"/>
  <c r="G183" i="6"/>
  <c r="C184" i="6"/>
  <c r="D184" i="6"/>
  <c r="G184" i="6"/>
  <c r="C185" i="6"/>
  <c r="D185" i="6"/>
  <c r="G185" i="6"/>
  <c r="C186" i="6"/>
  <c r="D186" i="6"/>
  <c r="G186" i="6"/>
  <c r="B187" i="6"/>
  <c r="C187" i="6"/>
  <c r="D187" i="6"/>
  <c r="G187" i="6"/>
  <c r="H187" i="6"/>
  <c r="I187" i="6"/>
  <c r="J187" i="6"/>
  <c r="K187" i="6"/>
  <c r="L187" i="6"/>
  <c r="M187" i="6"/>
  <c r="N187" i="6"/>
  <c r="O187" i="6"/>
  <c r="P187" i="6"/>
  <c r="C188" i="6"/>
  <c r="D188" i="6"/>
  <c r="G188" i="6"/>
  <c r="C189" i="6"/>
  <c r="D189" i="6"/>
  <c r="G189" i="6"/>
  <c r="B190" i="6"/>
  <c r="C190" i="6"/>
  <c r="D190" i="6"/>
  <c r="G190" i="6"/>
  <c r="H190" i="6"/>
  <c r="I190" i="6"/>
  <c r="J190" i="6"/>
  <c r="K190" i="6"/>
  <c r="L190" i="6"/>
  <c r="M190" i="6"/>
  <c r="N190" i="6"/>
  <c r="O190" i="6"/>
  <c r="P190" i="6"/>
  <c r="C191" i="6"/>
  <c r="D191" i="6"/>
  <c r="G191" i="6"/>
  <c r="C192" i="6"/>
  <c r="D192" i="6"/>
  <c r="G192" i="6"/>
  <c r="B193" i="6"/>
  <c r="C193" i="6"/>
  <c r="D193" i="6"/>
  <c r="G193" i="6"/>
  <c r="H193" i="6"/>
  <c r="I193" i="6"/>
  <c r="J193" i="6"/>
  <c r="K193" i="6"/>
  <c r="L193" i="6"/>
  <c r="M193" i="6"/>
  <c r="N193" i="6"/>
  <c r="O193" i="6"/>
  <c r="P193" i="6"/>
  <c r="C194" i="6"/>
  <c r="D194" i="6"/>
  <c r="G194" i="6"/>
  <c r="C195" i="6"/>
  <c r="D195" i="6"/>
  <c r="G195" i="6"/>
  <c r="C196" i="6"/>
  <c r="D196" i="6"/>
  <c r="G196" i="6"/>
  <c r="C197" i="6"/>
  <c r="D197" i="6"/>
  <c r="G197" i="6"/>
  <c r="B198" i="6"/>
  <c r="C198" i="6"/>
  <c r="D198" i="6"/>
  <c r="G198" i="6"/>
  <c r="H198" i="6"/>
  <c r="I198" i="6"/>
  <c r="J198" i="6"/>
  <c r="K198" i="6"/>
  <c r="L198" i="6"/>
  <c r="M198" i="6"/>
  <c r="N198" i="6"/>
  <c r="O198" i="6"/>
  <c r="P198" i="6"/>
  <c r="C199" i="6"/>
  <c r="D199" i="6"/>
  <c r="G199" i="6"/>
  <c r="C200" i="6"/>
  <c r="D200" i="6"/>
  <c r="G200" i="6"/>
  <c r="C201" i="6"/>
  <c r="D201" i="6"/>
  <c r="G201" i="6"/>
  <c r="C202" i="6"/>
  <c r="D202" i="6"/>
  <c r="G202" i="6"/>
  <c r="C203" i="6"/>
  <c r="D203" i="6"/>
  <c r="G203" i="6"/>
  <c r="C204" i="6"/>
  <c r="D204" i="6"/>
  <c r="G204" i="6"/>
  <c r="B205" i="6"/>
  <c r="C205" i="6"/>
  <c r="D205" i="6"/>
  <c r="G205" i="6"/>
  <c r="H205" i="6"/>
  <c r="I205" i="6"/>
  <c r="J205" i="6"/>
  <c r="K205" i="6"/>
  <c r="L205" i="6"/>
  <c r="M205" i="6"/>
  <c r="N205" i="6"/>
  <c r="O205" i="6"/>
  <c r="P205" i="6"/>
  <c r="C206" i="6"/>
  <c r="D206" i="6"/>
  <c r="G206" i="6"/>
  <c r="C207" i="6"/>
  <c r="D207" i="6"/>
  <c r="G207" i="6"/>
  <c r="C208" i="6"/>
  <c r="D208" i="6"/>
  <c r="G208" i="6"/>
  <c r="C209" i="6"/>
  <c r="D209" i="6"/>
  <c r="G209" i="6"/>
  <c r="C210" i="6"/>
  <c r="D210" i="6"/>
  <c r="G210" i="6"/>
  <c r="C211" i="6"/>
  <c r="D211" i="6"/>
  <c r="G211" i="6"/>
  <c r="C212" i="6"/>
  <c r="D212" i="6"/>
  <c r="G212" i="6"/>
  <c r="C213" i="6"/>
  <c r="D213" i="6"/>
  <c r="G213" i="6"/>
  <c r="C214" i="6"/>
  <c r="D214" i="6"/>
  <c r="G214" i="6"/>
  <c r="C215" i="6"/>
  <c r="D215" i="6"/>
  <c r="G215" i="6"/>
  <c r="C216" i="6"/>
  <c r="D216" i="6"/>
  <c r="G216" i="6"/>
  <c r="C217" i="6"/>
  <c r="D217" i="6"/>
  <c r="G217" i="6"/>
  <c r="C218" i="6"/>
  <c r="D218" i="6"/>
  <c r="G218" i="6"/>
  <c r="C219" i="6"/>
  <c r="D219" i="6"/>
  <c r="G219" i="6"/>
  <c r="C220" i="6"/>
  <c r="D220" i="6"/>
  <c r="G220" i="6"/>
  <c r="C221" i="6"/>
  <c r="D221" i="6"/>
  <c r="G221" i="6"/>
  <c r="B222" i="6"/>
  <c r="C222" i="6"/>
  <c r="D222" i="6"/>
  <c r="G222" i="6"/>
  <c r="H222" i="6"/>
  <c r="I222" i="6"/>
  <c r="J222" i="6"/>
  <c r="K222" i="6"/>
  <c r="L222" i="6"/>
  <c r="M222" i="6"/>
  <c r="N222" i="6"/>
  <c r="O222" i="6"/>
  <c r="P222" i="6"/>
  <c r="C223" i="6"/>
  <c r="D223" i="6"/>
  <c r="G223" i="6"/>
  <c r="C224" i="6"/>
  <c r="D224" i="6"/>
  <c r="G224" i="6"/>
  <c r="C225" i="6"/>
  <c r="D225" i="6"/>
  <c r="G225" i="6"/>
  <c r="C226" i="6"/>
  <c r="D226" i="6"/>
  <c r="G226" i="6"/>
  <c r="B227" i="6"/>
  <c r="C227" i="6"/>
  <c r="D227" i="6"/>
  <c r="G227" i="6"/>
  <c r="H227" i="6"/>
  <c r="I227" i="6"/>
  <c r="J227" i="6"/>
  <c r="K227" i="6"/>
  <c r="L227" i="6"/>
  <c r="M227" i="6"/>
  <c r="N227" i="6"/>
  <c r="O227" i="6"/>
  <c r="P227" i="6"/>
  <c r="C228" i="6"/>
  <c r="D228" i="6"/>
  <c r="G228" i="6"/>
  <c r="C229" i="6"/>
  <c r="D229" i="6"/>
  <c r="G229" i="6"/>
  <c r="C230" i="6"/>
  <c r="D230" i="6"/>
  <c r="G230" i="6"/>
  <c r="C231" i="6"/>
  <c r="D231" i="6"/>
  <c r="G231" i="6"/>
  <c r="C232" i="6"/>
  <c r="D232" i="6"/>
  <c r="G232" i="6"/>
  <c r="C233" i="6"/>
  <c r="D233" i="6"/>
  <c r="G233" i="6"/>
  <c r="C234" i="6"/>
  <c r="D234" i="6"/>
  <c r="G234" i="6"/>
  <c r="C235" i="6"/>
  <c r="D235" i="6"/>
  <c r="G235" i="6"/>
  <c r="C236" i="6"/>
  <c r="D236" i="6"/>
  <c r="G236" i="6"/>
  <c r="C237" i="6"/>
  <c r="D237" i="6"/>
  <c r="G237" i="6"/>
  <c r="C238" i="6"/>
  <c r="D238" i="6"/>
  <c r="G238" i="6"/>
  <c r="C239" i="6"/>
  <c r="D239" i="6"/>
  <c r="G239" i="6"/>
  <c r="C240" i="6"/>
  <c r="D240" i="6"/>
  <c r="G240" i="6"/>
  <c r="C241" i="6"/>
  <c r="D241" i="6"/>
  <c r="G241" i="6"/>
  <c r="C242" i="6"/>
  <c r="D242" i="6"/>
  <c r="G242" i="6"/>
  <c r="C243" i="6"/>
  <c r="D243" i="6"/>
  <c r="G243" i="6"/>
  <c r="C244" i="6"/>
  <c r="D244" i="6"/>
  <c r="G244" i="6"/>
  <c r="C245" i="6"/>
  <c r="D245" i="6"/>
  <c r="G245" i="6"/>
  <c r="C4" i="6"/>
  <c r="D4" i="6"/>
  <c r="G4" i="6"/>
  <c r="B5" i="6"/>
  <c r="C5" i="6"/>
  <c r="D5" i="6"/>
  <c r="G5" i="6"/>
  <c r="C6" i="6"/>
  <c r="D6" i="6"/>
  <c r="G6" i="6"/>
  <c r="B7" i="6"/>
  <c r="C7" i="6"/>
  <c r="D7" i="6"/>
  <c r="G7" i="6"/>
  <c r="B8" i="6"/>
  <c r="C8" i="6"/>
  <c r="D8" i="6"/>
  <c r="G8" i="6"/>
  <c r="B9" i="6"/>
  <c r="C9" i="6"/>
  <c r="D9" i="6"/>
  <c r="G9" i="6"/>
  <c r="C10" i="6"/>
  <c r="D10" i="6"/>
  <c r="G10" i="6"/>
  <c r="C11" i="6"/>
  <c r="D11" i="6"/>
  <c r="G11" i="6"/>
  <c r="C12" i="6"/>
  <c r="D12" i="6"/>
  <c r="G12" i="6"/>
  <c r="C13" i="6"/>
  <c r="D13" i="6"/>
  <c r="G13" i="6"/>
  <c r="C14" i="6"/>
  <c r="D14" i="6"/>
  <c r="G14" i="6"/>
  <c r="C15" i="6"/>
  <c r="D15" i="6"/>
  <c r="G15" i="6"/>
  <c r="C16" i="6"/>
  <c r="D16" i="6"/>
  <c r="G16" i="6"/>
  <c r="C17" i="6"/>
  <c r="D17" i="6"/>
  <c r="G17" i="6"/>
  <c r="B18" i="6"/>
  <c r="C18" i="6"/>
  <c r="D18" i="6"/>
  <c r="G18" i="6"/>
  <c r="C19" i="6"/>
  <c r="D19" i="6"/>
  <c r="G19" i="6"/>
  <c r="C20" i="6"/>
  <c r="D20" i="6"/>
  <c r="G20" i="6"/>
  <c r="C21" i="6"/>
  <c r="D21" i="6"/>
  <c r="G21" i="6"/>
  <c r="C22" i="6"/>
  <c r="D22" i="6"/>
  <c r="G22" i="6"/>
  <c r="C23" i="6"/>
  <c r="D23" i="6"/>
  <c r="G23" i="6"/>
  <c r="C24" i="6"/>
  <c r="D24" i="6"/>
  <c r="G24" i="6"/>
  <c r="C25" i="6"/>
  <c r="D25" i="6"/>
  <c r="G25" i="6"/>
  <c r="C26" i="6"/>
  <c r="D26" i="6"/>
  <c r="G26" i="6"/>
  <c r="C27" i="6"/>
  <c r="D27" i="6"/>
  <c r="G27" i="6"/>
  <c r="C28" i="6"/>
  <c r="D28" i="6"/>
  <c r="G28" i="6"/>
  <c r="B29" i="6"/>
  <c r="C29" i="6"/>
  <c r="D29" i="6"/>
  <c r="G29" i="6"/>
  <c r="C30" i="6"/>
  <c r="D30" i="6"/>
  <c r="G30" i="6"/>
  <c r="B31" i="6"/>
  <c r="C31" i="6"/>
  <c r="D31" i="6"/>
  <c r="G31" i="6"/>
  <c r="C32" i="6"/>
  <c r="D32" i="6"/>
  <c r="G32" i="6"/>
  <c r="C33" i="6"/>
  <c r="D33" i="6"/>
  <c r="G33" i="6"/>
  <c r="C34" i="6"/>
  <c r="D34" i="6"/>
  <c r="G34" i="6"/>
  <c r="C35" i="6"/>
  <c r="D35" i="6"/>
  <c r="G35" i="6"/>
  <c r="C36" i="6"/>
  <c r="D36" i="6"/>
  <c r="G36" i="6"/>
  <c r="C37" i="6"/>
  <c r="D37" i="6"/>
  <c r="G37" i="6"/>
  <c r="C38" i="6"/>
  <c r="D38" i="6"/>
  <c r="G38" i="6"/>
  <c r="C39" i="6"/>
  <c r="D39" i="6"/>
  <c r="G39" i="6"/>
  <c r="C40" i="6"/>
  <c r="D40" i="6"/>
  <c r="G40" i="6"/>
  <c r="C41" i="6"/>
  <c r="D41" i="6"/>
  <c r="G41" i="6"/>
  <c r="C42" i="6"/>
  <c r="D42" i="6"/>
  <c r="G42" i="6"/>
  <c r="C43" i="6"/>
  <c r="D43" i="6"/>
  <c r="G43" i="6"/>
  <c r="B44" i="6"/>
  <c r="C44" i="6"/>
  <c r="D44" i="6"/>
  <c r="G44" i="6"/>
  <c r="C45" i="6"/>
  <c r="D45" i="6"/>
  <c r="G45" i="6"/>
  <c r="C46" i="6"/>
  <c r="D46" i="6"/>
  <c r="G46" i="6"/>
  <c r="C47" i="6"/>
  <c r="D47" i="6"/>
  <c r="G47" i="6"/>
  <c r="C48" i="6"/>
  <c r="D48" i="6"/>
  <c r="G48" i="6"/>
  <c r="C49" i="6"/>
  <c r="D49" i="6"/>
  <c r="G49" i="6"/>
  <c r="C50" i="6"/>
  <c r="D50" i="6"/>
  <c r="G50" i="6"/>
  <c r="C51" i="6"/>
  <c r="D51" i="6"/>
  <c r="G51" i="6"/>
  <c r="C52" i="6"/>
  <c r="D52" i="6"/>
  <c r="G52" i="6"/>
  <c r="C53" i="6"/>
  <c r="D53" i="6"/>
  <c r="G53" i="6"/>
  <c r="C54" i="6"/>
  <c r="D54" i="6"/>
  <c r="G54" i="6"/>
  <c r="C55" i="6"/>
  <c r="D55" i="6"/>
  <c r="G55" i="6"/>
  <c r="C56" i="6"/>
  <c r="D56" i="6"/>
  <c r="G56" i="6"/>
  <c r="B57" i="6"/>
  <c r="C57" i="6"/>
  <c r="D57" i="6"/>
  <c r="G57" i="6"/>
  <c r="C58" i="6"/>
  <c r="D58" i="6"/>
  <c r="G58" i="6"/>
  <c r="B59" i="6"/>
  <c r="C59" i="6"/>
  <c r="D59" i="6"/>
  <c r="G59" i="6"/>
  <c r="C60" i="6"/>
  <c r="D60" i="6"/>
  <c r="G60" i="6"/>
  <c r="B61" i="6"/>
  <c r="C61" i="6"/>
  <c r="D61" i="6"/>
  <c r="G61" i="6"/>
  <c r="C62" i="6"/>
  <c r="D62" i="6"/>
  <c r="G62" i="6"/>
  <c r="C63" i="6"/>
  <c r="D63" i="6"/>
  <c r="G63" i="6"/>
  <c r="C64" i="6"/>
  <c r="D64" i="6"/>
  <c r="G64" i="6"/>
  <c r="C65" i="6"/>
  <c r="D65" i="6"/>
  <c r="G65" i="6"/>
  <c r="C66" i="6"/>
  <c r="D66" i="6"/>
  <c r="G66" i="6"/>
  <c r="B67" i="6"/>
  <c r="C67" i="6"/>
  <c r="D67" i="6"/>
  <c r="G67" i="6"/>
  <c r="B68" i="6"/>
  <c r="C68" i="6"/>
  <c r="D68" i="6"/>
  <c r="G68" i="6"/>
  <c r="C69" i="6"/>
  <c r="D69" i="6"/>
  <c r="G69" i="6"/>
  <c r="C70" i="6"/>
  <c r="D70" i="6"/>
  <c r="G70" i="6"/>
  <c r="C71" i="6"/>
  <c r="D71" i="6"/>
  <c r="G71" i="6"/>
  <c r="C72" i="6"/>
  <c r="D72" i="6"/>
  <c r="G72" i="6"/>
  <c r="B73" i="6"/>
  <c r="C73" i="6"/>
  <c r="D73" i="6"/>
  <c r="G73" i="6"/>
  <c r="C74" i="6"/>
  <c r="D74" i="6"/>
  <c r="G74" i="6"/>
  <c r="C75" i="6"/>
  <c r="D75" i="6"/>
  <c r="G75" i="6"/>
  <c r="C76" i="6"/>
  <c r="D76" i="6"/>
  <c r="G76" i="6"/>
  <c r="C77" i="6"/>
  <c r="D77" i="6"/>
  <c r="G77" i="6"/>
  <c r="C78" i="6"/>
  <c r="D78" i="6"/>
  <c r="G78" i="6"/>
  <c r="C79" i="6"/>
  <c r="D79" i="6"/>
  <c r="G79" i="6"/>
  <c r="C80" i="6"/>
  <c r="D80" i="6"/>
  <c r="G80" i="6"/>
  <c r="C81" i="6"/>
  <c r="D81" i="6"/>
  <c r="G81" i="6"/>
  <c r="C82" i="6"/>
  <c r="D82" i="6"/>
  <c r="G82" i="6"/>
  <c r="C83" i="6"/>
  <c r="D83" i="6"/>
  <c r="G83" i="6"/>
  <c r="B84" i="6"/>
  <c r="C84" i="6"/>
  <c r="D84" i="6"/>
  <c r="G84" i="6"/>
  <c r="C85" i="6"/>
  <c r="D85" i="6"/>
  <c r="G85" i="6"/>
  <c r="B86" i="6"/>
  <c r="C86" i="6"/>
  <c r="D86" i="6"/>
  <c r="G86" i="6"/>
  <c r="C87" i="6"/>
  <c r="D87" i="6"/>
  <c r="G87" i="6"/>
  <c r="C88" i="6"/>
  <c r="D88" i="6"/>
  <c r="G88" i="6"/>
  <c r="C89" i="6"/>
  <c r="D89" i="6"/>
  <c r="G89" i="6"/>
  <c r="C90" i="6"/>
  <c r="D90" i="6"/>
  <c r="G90" i="6"/>
  <c r="C91" i="6"/>
  <c r="D91" i="6"/>
  <c r="G91" i="6"/>
  <c r="C92" i="6"/>
  <c r="D92" i="6"/>
  <c r="G92" i="6"/>
  <c r="C93" i="6"/>
  <c r="D93" i="6"/>
  <c r="G93" i="6"/>
  <c r="C94" i="6"/>
  <c r="D94" i="6"/>
  <c r="G94" i="6"/>
  <c r="C95" i="6"/>
  <c r="D95" i="6"/>
  <c r="G95" i="6"/>
  <c r="C96" i="6"/>
  <c r="D96" i="6"/>
  <c r="G96" i="6"/>
  <c r="C97" i="6"/>
  <c r="D97" i="6"/>
  <c r="G97" i="6"/>
  <c r="C98" i="6"/>
  <c r="D98" i="6"/>
  <c r="G98" i="6"/>
  <c r="C99" i="6"/>
  <c r="D99" i="6"/>
  <c r="G99" i="6"/>
  <c r="C100" i="6"/>
  <c r="D100" i="6"/>
  <c r="G100" i="6"/>
  <c r="C101" i="6"/>
  <c r="D101" i="6"/>
  <c r="G101" i="6"/>
  <c r="B102" i="6"/>
  <c r="C102" i="6"/>
  <c r="D102" i="6"/>
  <c r="G102" i="6"/>
  <c r="B103" i="6"/>
  <c r="C103" i="6"/>
  <c r="D103" i="6"/>
  <c r="G103" i="6"/>
  <c r="B104" i="6"/>
  <c r="C104" i="6"/>
  <c r="D104" i="6"/>
  <c r="G104" i="6"/>
  <c r="B105" i="6"/>
  <c r="C105" i="6"/>
  <c r="D105" i="6"/>
  <c r="G105" i="6"/>
  <c r="B106" i="6"/>
  <c r="C106" i="6"/>
  <c r="D106" i="6"/>
  <c r="G106" i="6"/>
  <c r="C3" i="6"/>
  <c r="D3" i="6"/>
  <c r="G3" i="6"/>
  <c r="B16" i="7"/>
  <c r="H5" i="6"/>
  <c r="I5" i="6"/>
  <c r="J5" i="6"/>
  <c r="K5" i="6"/>
  <c r="L5" i="6"/>
  <c r="M5" i="6"/>
  <c r="N5" i="6"/>
  <c r="O5" i="6"/>
  <c r="P5" i="6"/>
  <c r="H7" i="6"/>
  <c r="I7" i="6"/>
  <c r="J7" i="6"/>
  <c r="K7" i="6"/>
  <c r="L7" i="6"/>
  <c r="M7" i="6"/>
  <c r="N7" i="6"/>
  <c r="O7" i="6"/>
  <c r="P7" i="6"/>
  <c r="H8" i="6"/>
  <c r="I8" i="6"/>
  <c r="J8" i="6"/>
  <c r="K8" i="6"/>
  <c r="L8" i="6"/>
  <c r="M8" i="6"/>
  <c r="N8" i="6"/>
  <c r="O8" i="6"/>
  <c r="P8" i="6"/>
  <c r="H9" i="6"/>
  <c r="I9" i="6"/>
  <c r="J9" i="6"/>
  <c r="K9" i="6"/>
  <c r="L9" i="6"/>
  <c r="M9" i="6"/>
  <c r="N9" i="6"/>
  <c r="O9" i="6"/>
  <c r="P9" i="6"/>
  <c r="H18" i="6"/>
  <c r="I18" i="6"/>
  <c r="J18" i="6"/>
  <c r="K18" i="6"/>
  <c r="L18" i="6"/>
  <c r="M18" i="6"/>
  <c r="N18" i="6"/>
  <c r="O18" i="6"/>
  <c r="P18" i="6"/>
  <c r="H29" i="6"/>
  <c r="I29" i="6"/>
  <c r="J29" i="6"/>
  <c r="K29" i="6"/>
  <c r="L29" i="6"/>
  <c r="M29" i="6"/>
  <c r="N29" i="6"/>
  <c r="O29" i="6"/>
  <c r="P29" i="6"/>
  <c r="H31" i="6"/>
  <c r="I31" i="6"/>
  <c r="J31" i="6"/>
  <c r="K31" i="6"/>
  <c r="L31" i="6"/>
  <c r="M31" i="6"/>
  <c r="N31" i="6"/>
  <c r="O31" i="6"/>
  <c r="P31" i="6"/>
  <c r="H44" i="6"/>
  <c r="I44" i="6"/>
  <c r="J44" i="6"/>
  <c r="K44" i="6"/>
  <c r="L44" i="6"/>
  <c r="M44" i="6"/>
  <c r="N44" i="6"/>
  <c r="O44" i="6"/>
  <c r="P44" i="6"/>
  <c r="H57" i="6"/>
  <c r="I57" i="6"/>
  <c r="J57" i="6"/>
  <c r="K57" i="6"/>
  <c r="L57" i="6"/>
  <c r="M57" i="6"/>
  <c r="N57" i="6"/>
  <c r="O57" i="6"/>
  <c r="P57" i="6"/>
  <c r="H59" i="6"/>
  <c r="I59" i="6"/>
  <c r="J59" i="6"/>
  <c r="K59" i="6"/>
  <c r="L59" i="6"/>
  <c r="M59" i="6"/>
  <c r="N59" i="6"/>
  <c r="O59" i="6"/>
  <c r="P59" i="6"/>
  <c r="L61" i="6"/>
  <c r="N61" i="6"/>
  <c r="M61" i="6"/>
  <c r="I61" i="6"/>
  <c r="H61" i="6"/>
  <c r="J61" i="6"/>
  <c r="K61" i="6"/>
  <c r="O61" i="6"/>
  <c r="P61" i="6"/>
  <c r="H67" i="6"/>
  <c r="I67" i="6"/>
  <c r="J67" i="6"/>
  <c r="K67" i="6"/>
  <c r="L67" i="6"/>
  <c r="M67" i="6"/>
  <c r="N67" i="6"/>
  <c r="O67" i="6"/>
  <c r="P67" i="6"/>
  <c r="L68" i="6"/>
  <c r="N68" i="6"/>
  <c r="M68" i="6"/>
  <c r="I68" i="6"/>
  <c r="H68" i="6"/>
  <c r="J68" i="6"/>
  <c r="K68" i="6"/>
  <c r="O68" i="6"/>
  <c r="P68" i="6"/>
  <c r="H73" i="6"/>
  <c r="I73" i="6"/>
  <c r="J73" i="6"/>
  <c r="K73" i="6"/>
  <c r="L73" i="6"/>
  <c r="M73" i="6"/>
  <c r="N73" i="6"/>
  <c r="O73" i="6"/>
  <c r="P73" i="6"/>
  <c r="H84" i="6"/>
  <c r="I84" i="6"/>
  <c r="J84" i="6"/>
  <c r="K84" i="6"/>
  <c r="L84" i="6"/>
  <c r="M84" i="6"/>
  <c r="N84" i="6"/>
  <c r="O84" i="6"/>
  <c r="P84" i="6"/>
  <c r="H86" i="6"/>
  <c r="I86" i="6"/>
  <c r="J86" i="6"/>
  <c r="K86" i="6"/>
  <c r="L86" i="6"/>
  <c r="M86" i="6"/>
  <c r="N86" i="6"/>
  <c r="O86" i="6"/>
  <c r="P86" i="6"/>
  <c r="H102" i="6"/>
  <c r="I102" i="6"/>
  <c r="J102" i="6"/>
  <c r="K102" i="6"/>
  <c r="L102" i="6"/>
  <c r="M102" i="6"/>
  <c r="N102" i="6"/>
  <c r="O102" i="6"/>
  <c r="P102" i="6"/>
  <c r="H103" i="6"/>
  <c r="I103" i="6"/>
  <c r="J103" i="6"/>
  <c r="K103" i="6"/>
  <c r="L103" i="6"/>
  <c r="M103" i="6"/>
  <c r="N103" i="6"/>
  <c r="O103" i="6"/>
  <c r="P103" i="6"/>
  <c r="H104" i="6"/>
  <c r="I104" i="6"/>
  <c r="J104" i="6"/>
  <c r="K104" i="6"/>
  <c r="L104" i="6"/>
  <c r="M104" i="6"/>
  <c r="N104" i="6"/>
  <c r="O104" i="6"/>
  <c r="P104" i="6"/>
  <c r="H105" i="6"/>
  <c r="I105" i="6"/>
  <c r="J105" i="6"/>
  <c r="K105" i="6"/>
  <c r="L105" i="6"/>
  <c r="M105" i="6"/>
  <c r="N105" i="6"/>
  <c r="O105" i="6"/>
  <c r="P105" i="6"/>
  <c r="H106" i="6"/>
  <c r="I106" i="6"/>
  <c r="J106" i="6"/>
  <c r="K106" i="6"/>
  <c r="L106" i="6"/>
  <c r="M106" i="6"/>
  <c r="N106" i="6"/>
  <c r="O106" i="6"/>
  <c r="P106" i="6"/>
</calcChain>
</file>

<file path=xl/comments1.xml><?xml version="1.0" encoding="utf-8"?>
<comments xmlns="http://schemas.openxmlformats.org/spreadsheetml/2006/main">
  <authors>
    <author>Lawrence</author>
  </authors>
  <commentList>
    <comment ref="J5" authorId="0">
      <text>
        <r>
          <rPr>
            <b/>
            <sz val="9"/>
            <color indexed="81"/>
            <rFont val="Tahoma"/>
            <family val="2"/>
          </rPr>
          <t>Lawrence:</t>
        </r>
        <r>
          <rPr>
            <sz val="9"/>
            <color indexed="81"/>
            <rFont val="Tahoma"/>
            <family val="2"/>
          </rPr>
          <t xml:space="preserve">
will be reimbursed
32883.5 Rs for visa cost and Alice holiday spend roughly 31450 totalling 64350
</t>
        </r>
      </text>
    </comment>
  </commentList>
</comments>
</file>

<file path=xl/sharedStrings.xml><?xml version="1.0" encoding="utf-8"?>
<sst xmlns="http://schemas.openxmlformats.org/spreadsheetml/2006/main" count="2018" uniqueCount="772">
  <si>
    <t>HDFC BANK Ltd.                                      Page No .:   1                                          Statement of accounts</t>
  </si>
  <si>
    <t>Account Branch :WORLD TRADE CENTRE</t>
  </si>
  <si>
    <t>MR.     LAWRENCE JAMES ROBSON COX</t>
  </si>
  <si>
    <t>Address :26/1, WORLD TRADE CENTRE BANGALORE,</t>
  </si>
  <si>
    <t>DNV GL</t>
  </si>
  <si>
    <t>DR RAJKUMAR ROAD,</t>
  </si>
  <si>
    <t>26/1 20TH FLR WORLD TRADE CENTRE</t>
  </si>
  <si>
    <t>MALLESWARAM - RAJAJINAGAR,</t>
  </si>
  <si>
    <t>DR RAJKUMAR RD RAJAJINAGAR</t>
  </si>
  <si>
    <t>City :BANGALORE 560055</t>
  </si>
  <si>
    <t>BANGALORE 560055</t>
  </si>
  <si>
    <t>State :KARNATAKA</t>
  </si>
  <si>
    <t>KARNATAKA INDIA</t>
  </si>
  <si>
    <t>Phone no. :080-61606161</t>
  </si>
  <si>
    <t>Email :LAWRENCE.COX@DNVGL.COM</t>
  </si>
  <si>
    <t>JOINT HOLDERS :</t>
  </si>
  <si>
    <t>OD Limit :0.00   Currency :INR</t>
  </si>
  <si>
    <t>Nomination  :  Not Registered</t>
  </si>
  <si>
    <t>Cust ID :72039065</t>
  </si>
  <si>
    <t>Account No :50100184888765     VIRTUAL PREFERRED</t>
  </si>
  <si>
    <t>A/C Open Date :27/09/2016</t>
  </si>
  <si>
    <t>Account Status :Regular</t>
  </si>
  <si>
    <t>RTGS/NEFT IFSC :HDFC0002710   MICR :560240085</t>
  </si>
  <si>
    <t>********************************************************************************************************************************************************************************************</t>
  </si>
  <si>
    <t>Date</t>
  </si>
  <si>
    <t>Narration</t>
  </si>
  <si>
    <t>Chq./Ref.No.</t>
  </si>
  <si>
    <t>Value Dt</t>
  </si>
  <si>
    <t>Withdrawal Amt.</t>
  </si>
  <si>
    <t>Deposit Amt.</t>
  </si>
  <si>
    <t>Closing Balance</t>
  </si>
  <si>
    <t>********</t>
  </si>
  <si>
    <t>**********************************</t>
  </si>
  <si>
    <t>************</t>
  </si>
  <si>
    <t>******************</t>
  </si>
  <si>
    <t>POS 512967XXXXXX4422 ZES*UBER INDIA S POS DEBIT</t>
  </si>
  <si>
    <t>POS 512967XXXXXX4422 CELEBRATIONS, POS DEBIT</t>
  </si>
  <si>
    <t>15/06/17</t>
  </si>
  <si>
    <t>NEFT CR-HSBC0400002-SALARY AND BULK PAYMENTS-LAWRENCE JAMES ROBSON COX-HSBCN17166773663</t>
  </si>
  <si>
    <t>HSBCN17166773663</t>
  </si>
  <si>
    <t>0000716660234036</t>
  </si>
  <si>
    <t>16/06/17</t>
  </si>
  <si>
    <t>0000716740073656</t>
  </si>
  <si>
    <t>0000000000014647</t>
  </si>
  <si>
    <t>0000716740216783</t>
  </si>
  <si>
    <t>POS 512967XXXXXX4422 GOTOGATE POS DEBIT</t>
  </si>
  <si>
    <t>0000000000870632</t>
  </si>
  <si>
    <t>POS 512967XXXXXX4422 MUNI WINES POS DEBIT</t>
  </si>
  <si>
    <t>0000000000086794</t>
  </si>
  <si>
    <t>17/06/17</t>
  </si>
  <si>
    <t>POS 512967XXXXXX4422 NATURES POS DEBIT</t>
  </si>
  <si>
    <t>0000000000005417</t>
  </si>
  <si>
    <t>POS 512967XXXXXX4422 ROYAL MART-RICHM POS DEBIT</t>
  </si>
  <si>
    <t>0000000000232401</t>
  </si>
  <si>
    <t>POS 512967XXXXXX4422 CAFE COFFEE DAY POS DEBIT</t>
  </si>
  <si>
    <t>0000000000171625</t>
  </si>
  <si>
    <t>NWD-512967XXXXXX4422-40021001-BANGALORE</t>
  </si>
  <si>
    <t>0000716816016422</t>
  </si>
  <si>
    <t>POS 512967XXXXXX4422 BOMBAY BRASSERIE POS DEBIT</t>
  </si>
  <si>
    <t>0000000000004115</t>
  </si>
  <si>
    <t>18/06/17</t>
  </si>
  <si>
    <t>0000716960045491</t>
  </si>
  <si>
    <t>0000000000531533</t>
  </si>
  <si>
    <t>POS 512967XXXXXX4422 RELIANCE VISION POS DEBIT</t>
  </si>
  <si>
    <t>0000000000002924</t>
  </si>
  <si>
    <t>POS 512967XXXXXX4422 MC DONALDS. POS DEBIT</t>
  </si>
  <si>
    <t>0000000000058095</t>
  </si>
  <si>
    <t>0000716940109716</t>
  </si>
  <si>
    <t>19/06/17</t>
  </si>
  <si>
    <t>0000000000014917</t>
  </si>
  <si>
    <t>DEBIT CARD PUR ADJ DT 16/06/17</t>
  </si>
  <si>
    <t>0000717060210072</t>
  </si>
  <si>
    <t>20/06/17</t>
  </si>
  <si>
    <t>0000717100026775</t>
  </si>
  <si>
    <t>0000000000002571</t>
  </si>
  <si>
    <t>21/06/17</t>
  </si>
  <si>
    <t>0000717260046137</t>
  </si>
  <si>
    <t>0000000000015563</t>
  </si>
  <si>
    <t>0000717260260033</t>
  </si>
  <si>
    <t>0000000000171590</t>
  </si>
  <si>
    <t>22/06/17</t>
  </si>
  <si>
    <t>0000717340066178</t>
  </si>
  <si>
    <t>0000000000015950</t>
  </si>
  <si>
    <t>NEFT DR-ICIC0000551-SAI SARATHI-NETBANK, MUM-N173170317277459</t>
  </si>
  <si>
    <t>N173170317277459</t>
  </si>
  <si>
    <t>POS 512967XXXXXX4422 CARROT HEALTH AN POS DEBIT</t>
  </si>
  <si>
    <t>0000000000003090</t>
  </si>
  <si>
    <t>0000717360314233</t>
  </si>
  <si>
    <t>23/06/17</t>
  </si>
  <si>
    <t>POS 512967XXXXXX4422 PAYU-OLA MONEY - POS DEBIT</t>
  </si>
  <si>
    <t>0000020020680182</t>
  </si>
  <si>
    <t>0000000000016354</t>
  </si>
  <si>
    <t>POS 512967XXXXXX4422 PLAN B POS DEBIT</t>
  </si>
  <si>
    <t>0000000000003241</t>
  </si>
  <si>
    <t>24/06/17</t>
  </si>
  <si>
    <t>0000717540194630</t>
  </si>
  <si>
    <t>POS 512967XXXXXX4422 THE BEER CAFE POS DEBIT</t>
  </si>
  <si>
    <t>0000000000431719</t>
  </si>
  <si>
    <t>0000000000715670</t>
  </si>
  <si>
    <t>NWD-512967XXXXXX4422-40583001-BANGALORE</t>
  </si>
  <si>
    <t>0000717514011502</t>
  </si>
  <si>
    <t>POS 512967XXXXXX4422 MADHULOKA LIQUOR POS DEBIT</t>
  </si>
  <si>
    <t>0000000000025458</t>
  </si>
  <si>
    <t>25/06/17</t>
  </si>
  <si>
    <t>0000000000794516</t>
  </si>
  <si>
    <t>POS 512967XXXXXX4422 HARD ROCK CAFE. POS DEBIT</t>
  </si>
  <si>
    <t>0000000000011266</t>
  </si>
  <si>
    <t>26/06/17</t>
  </si>
  <si>
    <t>0000000000401004</t>
  </si>
  <si>
    <t>27/06/17</t>
  </si>
  <si>
    <t>0000717840045041</t>
  </si>
  <si>
    <t>0000000000016833</t>
  </si>
  <si>
    <t>0000000000113100</t>
  </si>
  <si>
    <t>28/06/17</t>
  </si>
  <si>
    <t>0000717960046419</t>
  </si>
  <si>
    <t>0000000000017133</t>
  </si>
  <si>
    <t>29/06/17</t>
  </si>
  <si>
    <t>DC INTL POS TXN MARKUP+ST 160617 190617</t>
  </si>
  <si>
    <t>000000000000000</t>
  </si>
  <si>
    <t>ATW-512967XXXXXX4422-S1AWHP18-BANGALORE-URB</t>
  </si>
  <si>
    <t>0000000000000927</t>
  </si>
  <si>
    <t>0000000000000812</t>
  </si>
  <si>
    <t>0000000000003179</t>
  </si>
  <si>
    <t>30/06/17</t>
  </si>
  <si>
    <t>0000718160062089</t>
  </si>
  <si>
    <t>0000000000017813</t>
  </si>
  <si>
    <t>POS 512967XXXXXX4422 THE PERMIT ROOM POS DEBIT</t>
  </si>
  <si>
    <t>0000000000009593</t>
  </si>
  <si>
    <t>01/07/17</t>
  </si>
  <si>
    <t>CREDIT INTEREST CAPITALISED</t>
  </si>
  <si>
    <t>0000000000017917</t>
  </si>
  <si>
    <t>0000000000290855</t>
  </si>
  <si>
    <t>0000718240238279</t>
  </si>
  <si>
    <t>02/07/17</t>
  </si>
  <si>
    <t>POS 512967XXXXXX4422 MONKEY BAR OLIVE POS DEBIT</t>
  </si>
  <si>
    <t>0000000000591573</t>
  </si>
  <si>
    <t>0000718360013888</t>
  </si>
  <si>
    <t>0000718340224636</t>
  </si>
  <si>
    <t>0000718340235378</t>
  </si>
  <si>
    <t>03/07/17</t>
  </si>
  <si>
    <t>0000718440048728</t>
  </si>
  <si>
    <t>0000000000018025</t>
  </si>
  <si>
    <t>NWD-512967XXXXXX4422-09640001-BANGALORE</t>
  </si>
  <si>
    <t>0000718419082556</t>
  </si>
  <si>
    <t>POS 512967XXXXXX4422 ONE97 COMMUNICAT POS DEBIT</t>
  </si>
  <si>
    <t>0000000000694210</t>
  </si>
  <si>
    <t>04/07/17</t>
  </si>
  <si>
    <t>0000718500050015</t>
  </si>
  <si>
    <t>0000000000018327</t>
  </si>
  <si>
    <t>05/07/17</t>
  </si>
  <si>
    <t>0000718640054247</t>
  </si>
  <si>
    <t>0000000000018500</t>
  </si>
  <si>
    <t>POS 512967XXXXXX4422 DRIBBLE INC POS DEBIT</t>
  </si>
  <si>
    <t>0000000000000665</t>
  </si>
  <si>
    <t>NWD-512967XXXXXX4422-VD103802-BANGALORE</t>
  </si>
  <si>
    <t>0000718622162456</t>
  </si>
  <si>
    <t>06/07/17</t>
  </si>
  <si>
    <t>0000718760052300</t>
  </si>
  <si>
    <t>0000000000018846</t>
  </si>
  <si>
    <t>POS 512967XXXXXX4422 HYPERCITY RETAIL POS DEBIT</t>
  </si>
  <si>
    <t>0000000000003788</t>
  </si>
  <si>
    <t>POS 512967XXXXXX4422 BANGALORE METRO POS DEBIT</t>
  </si>
  <si>
    <t>0000000000113673</t>
  </si>
  <si>
    <t>07/07/17</t>
  </si>
  <si>
    <t>0000718800020864</t>
  </si>
  <si>
    <t>0000000000043928</t>
  </si>
  <si>
    <t>0000718800179502</t>
  </si>
  <si>
    <t>POS 512967XXXXXX4422 PAYU-WWW.SWIGGY. POS DEBIT</t>
  </si>
  <si>
    <t>0000010021969857</t>
  </si>
  <si>
    <t>08/07/17</t>
  </si>
  <si>
    <t>0000718940071465</t>
  </si>
  <si>
    <t>0000000000181066</t>
  </si>
  <si>
    <t>POS 512967XXXXXX4422 NSDLPAN POS DEBIT</t>
  </si>
  <si>
    <t>0000JF5482420118</t>
  </si>
  <si>
    <t>0000000000018983</t>
  </si>
  <si>
    <t>0000718900152264</t>
  </si>
  <si>
    <t>0000000000526939</t>
  </si>
  <si>
    <t>0000718940263960</t>
  </si>
  <si>
    <t>09/07/17</t>
  </si>
  <si>
    <t>POS 512967XXXXXX4422 FINE FOOD AND POS DEBIT</t>
  </si>
  <si>
    <t>0000000000008443</t>
  </si>
  <si>
    <t>0000719060006109</t>
  </si>
  <si>
    <t>0000719000007180</t>
  </si>
  <si>
    <t>0000000000452730</t>
  </si>
  <si>
    <t>0000719040188230</t>
  </si>
  <si>
    <t>10/07/17</t>
  </si>
  <si>
    <t>0000719100022844</t>
  </si>
  <si>
    <t>0000000000019128</t>
  </si>
  <si>
    <t>0000719121163378</t>
  </si>
  <si>
    <t>11/07/17</t>
  </si>
  <si>
    <t>0000719240062072</t>
  </si>
  <si>
    <t>12/07/17</t>
  </si>
  <si>
    <t>0000000000019673</t>
  </si>
  <si>
    <t>13/07/17</t>
  </si>
  <si>
    <t>0000719400016587</t>
  </si>
  <si>
    <t>0000000000019918</t>
  </si>
  <si>
    <t>0000719400153852</t>
  </si>
  <si>
    <t>14/07/17</t>
  </si>
  <si>
    <t>0000719560040370</t>
  </si>
  <si>
    <t>0000000000020164</t>
  </si>
  <si>
    <t>NEFT CR-HSBC0400002-SALARY AND BULK PAYMENTS-LAWRENCE JAMES ROBSON COX-HSBCN17195981474</t>
  </si>
  <si>
    <t>HSBCN17195981474</t>
  </si>
  <si>
    <t>EAW-512967XXXXXX4422-BLON1845-BANGALORE</t>
  </si>
  <si>
    <t>0000719513253712</t>
  </si>
  <si>
    <t>*********************************************************************************************************************************</t>
  </si>
  <si>
    <t>STATEMENT SUMMARY  :-</t>
  </si>
  <si>
    <t>Opening Balance</t>
  </si>
  <si>
    <t>Debits</t>
  </si>
  <si>
    <t>Credits</t>
  </si>
  <si>
    <t>Closing Bal</t>
  </si>
  <si>
    <t>Dr Count</t>
  </si>
  <si>
    <t>Cr Count</t>
  </si>
  <si>
    <t>Generated On:</t>
  </si>
  <si>
    <t>Generated By:</t>
  </si>
  <si>
    <t>72039065</t>
  </si>
  <si>
    <t>Requesting Branch Code:</t>
  </si>
  <si>
    <t>NET</t>
  </si>
  <si>
    <t>HDFC Bank Service Tax Registration NO. : M-IV/ST/ BANK &amp; OTHER SERVICES / 20 / 2001</t>
  </si>
  <si>
    <t>Registered Office Address: HDFC Bank House, Senapati Bapat Marg, Lower Parel, Mumbai 400013</t>
  </si>
  <si>
    <t>---  End Of Statement ---</t>
  </si>
  <si>
    <t>S</t>
  </si>
  <si>
    <t>F</t>
  </si>
  <si>
    <t>T</t>
  </si>
  <si>
    <t>M</t>
  </si>
  <si>
    <t>U</t>
  </si>
  <si>
    <t>I</t>
  </si>
  <si>
    <t>CAT</t>
  </si>
  <si>
    <t>C</t>
  </si>
  <si>
    <t>L</t>
  </si>
  <si>
    <t>Travel</t>
  </si>
  <si>
    <t>Work Lunch</t>
  </si>
  <si>
    <t>One-off</t>
  </si>
  <si>
    <t>Food &amp; Drink</t>
  </si>
  <si>
    <t xml:space="preserve">Miscellaneous </t>
  </si>
  <si>
    <t>Cash Withdrawal</t>
  </si>
  <si>
    <t>Holiday</t>
  </si>
  <si>
    <t>Funds In</t>
  </si>
  <si>
    <t>Description</t>
  </si>
  <si>
    <t>Cat</t>
  </si>
  <si>
    <t>Search terms</t>
  </si>
  <si>
    <t>Uber</t>
  </si>
  <si>
    <t>Ola</t>
  </si>
  <si>
    <t>Salary</t>
  </si>
  <si>
    <t>Celebrations</t>
  </si>
  <si>
    <t>NWD</t>
  </si>
  <si>
    <t>ATW</t>
  </si>
  <si>
    <t>MUNI WINEs</t>
  </si>
  <si>
    <t>COFFEE DAY</t>
  </si>
  <si>
    <t>PLAN B</t>
  </si>
  <si>
    <t>SWIGGY</t>
  </si>
  <si>
    <t>MC DONALDS</t>
  </si>
  <si>
    <t>Capitalised</t>
  </si>
  <si>
    <t xml:space="preserve">Dribble </t>
  </si>
  <si>
    <t>Royal Mart</t>
  </si>
  <si>
    <t>Reliance Vision</t>
  </si>
  <si>
    <t>Sai Sarathi</t>
  </si>
  <si>
    <t>Add new search terms here</t>
  </si>
  <si>
    <t>GOTOGATE</t>
  </si>
  <si>
    <t xml:space="preserve">Manual </t>
  </si>
  <si>
    <t>BEER CAFE</t>
  </si>
  <si>
    <t>Unknown</t>
  </si>
  <si>
    <t>Totals</t>
  </si>
  <si>
    <t>Start Date</t>
  </si>
  <si>
    <t>End Date</t>
  </si>
  <si>
    <t>Title</t>
  </si>
  <si>
    <t>01/05/17</t>
  </si>
  <si>
    <t>0000712140011439</t>
  </si>
  <si>
    <t>0000000000301597</t>
  </si>
  <si>
    <t>POS 512967XXXXXX4422 ONE97COMM_PAYTM POS DEBIT</t>
  </si>
  <si>
    <t>0000000000874432</t>
  </si>
  <si>
    <t>02/05/17</t>
  </si>
  <si>
    <t>0000712260043529</t>
  </si>
  <si>
    <t>GOVT SER.TAX ON FX -RX42710260417001</t>
  </si>
  <si>
    <t>GOVT SBC TAX ON FX -RX42710260417001</t>
  </si>
  <si>
    <t>GOVT KKC TAX ON FX -RX42710260417001</t>
  </si>
  <si>
    <t>03/05/17</t>
  </si>
  <si>
    <t>0000000000053439</t>
  </si>
  <si>
    <t>0000712300158006</t>
  </si>
  <si>
    <t>0000712340230545</t>
  </si>
  <si>
    <t>0000000000000338</t>
  </si>
  <si>
    <t>POS 512967XXXXXX4422 ARBOR BREWPUB POS DEBIT</t>
  </si>
  <si>
    <t>0000000000012937</t>
  </si>
  <si>
    <t>04/05/17</t>
  </si>
  <si>
    <t>0000712460263739</t>
  </si>
  <si>
    <t>05/05/17</t>
  </si>
  <si>
    <t>0000712560068390</t>
  </si>
  <si>
    <t>0000000000822302</t>
  </si>
  <si>
    <t>06/05/17</t>
  </si>
  <si>
    <t>RX42710260417001 CHGS:ST SBC KKC 280417</t>
  </si>
  <si>
    <t>0000100000000000</t>
  </si>
  <si>
    <t>NWD-512967XXXXXX4422-A0414001-BANGALORE I</t>
  </si>
  <si>
    <t>0000712619976780</t>
  </si>
  <si>
    <t>0000000000856850</t>
  </si>
  <si>
    <t>0000712660288504</t>
  </si>
  <si>
    <t>07/05/17</t>
  </si>
  <si>
    <t>0000010016888431</t>
  </si>
  <si>
    <t>0000712740134708</t>
  </si>
  <si>
    <t>0000712700147372</t>
  </si>
  <si>
    <t>08/05/17</t>
  </si>
  <si>
    <t>0000000000004912</t>
  </si>
  <si>
    <t>0000712813253690</t>
  </si>
  <si>
    <t>09/05/17</t>
  </si>
  <si>
    <t>0000000000054176</t>
  </si>
  <si>
    <t>10/05/17</t>
  </si>
  <si>
    <t>0000713060030459</t>
  </si>
  <si>
    <t>POS 512967XXXXXX4422 NIKE, ORION MALL POS DEBIT</t>
  </si>
  <si>
    <t>0000000000062597</t>
  </si>
  <si>
    <t>0000713060221948</t>
  </si>
  <si>
    <t>POS 512967XXXXXX4422 PTM*PAYTM POS DEBIT</t>
  </si>
  <si>
    <t>0000713000144139</t>
  </si>
  <si>
    <t>11/05/17</t>
  </si>
  <si>
    <t>0000000000021623</t>
  </si>
  <si>
    <t>0000713160202490</t>
  </si>
  <si>
    <t>12/05/17</t>
  </si>
  <si>
    <t>0000713260033658</t>
  </si>
  <si>
    <t>0000713240236770</t>
  </si>
  <si>
    <t>13/05/17</t>
  </si>
  <si>
    <t>0000713360230693</t>
  </si>
  <si>
    <t>POS 512967XXXXXX4422 THE BIERE CLUB POS DEBIT</t>
  </si>
  <si>
    <t>0000000000053848</t>
  </si>
  <si>
    <t>14/05/17</t>
  </si>
  <si>
    <t>0000713440210281</t>
  </si>
  <si>
    <t>15/05/17</t>
  </si>
  <si>
    <t>0000713540032297</t>
  </si>
  <si>
    <t>0000000000006267</t>
  </si>
  <si>
    <t>0000000000006454</t>
  </si>
  <si>
    <t>NEFT CR-HSBC0400002-SALARY AND BULK PAYMENTS-LAWRENCE JAMES ROBSON COX-HSBCN17135353885</t>
  </si>
  <si>
    <t>HSBCN17135353885</t>
  </si>
  <si>
    <t>0000713540176210</t>
  </si>
  <si>
    <t>16/05/17</t>
  </si>
  <si>
    <t>50100179608510  -TPT-LOAN REPAY</t>
  </si>
  <si>
    <t>00000244966030A1</t>
  </si>
  <si>
    <t>0000713640194476</t>
  </si>
  <si>
    <t>0000713623976801</t>
  </si>
  <si>
    <t>17/05/17</t>
  </si>
  <si>
    <t>0000713700018389</t>
  </si>
  <si>
    <t>0000000000007188</t>
  </si>
  <si>
    <t>0000000000014541</t>
  </si>
  <si>
    <t>18/05/17</t>
  </si>
  <si>
    <t>0000713800022375</t>
  </si>
  <si>
    <t>0000000000038293</t>
  </si>
  <si>
    <t>0000020017784091</t>
  </si>
  <si>
    <t>19/05/17</t>
  </si>
  <si>
    <t>0000000000007800</t>
  </si>
  <si>
    <t>0000713900098395</t>
  </si>
  <si>
    <t>POS 512967XXXXXX4422 PAYTM MOBILE SOL POS DEBIT</t>
  </si>
  <si>
    <t>0000000000430944</t>
  </si>
  <si>
    <t>POS 512967XXXXXX4422 THE BULL RING POS DEBIT</t>
  </si>
  <si>
    <t>0000000000571145</t>
  </si>
  <si>
    <t>POS 512967XXXXXX4422 DROPS TOTAL SPIR POS DEBIT</t>
  </si>
  <si>
    <t>0000000000019678</t>
  </si>
  <si>
    <t>20/05/17</t>
  </si>
  <si>
    <t>0000714060008497</t>
  </si>
  <si>
    <t>0000714000162899</t>
  </si>
  <si>
    <t>0000714060103621</t>
  </si>
  <si>
    <t>POS 512967XXXXXX4422 PTM*PAYTM APP POS DEBIT</t>
  </si>
  <si>
    <t>0000714000264774</t>
  </si>
  <si>
    <t>0000714060146890</t>
  </si>
  <si>
    <t>0000000000673028</t>
  </si>
  <si>
    <t>0000714040241819</t>
  </si>
  <si>
    <t>0000000000511393</t>
  </si>
  <si>
    <t>21/05/17</t>
  </si>
  <si>
    <t>0000010017890130</t>
  </si>
  <si>
    <t>POS 512967XXXXXX4422 RSP*RAZORPAY PAY POS DEBIT</t>
  </si>
  <si>
    <t>0000714170062137</t>
  </si>
  <si>
    <t>POS 512967XXXXXX4422 FANOOS RESTAURAN POS DEBIT</t>
  </si>
  <si>
    <t>0000000000559840</t>
  </si>
  <si>
    <t>0000000000920854</t>
  </si>
  <si>
    <t>22/05/17</t>
  </si>
  <si>
    <t>0000000000008147</t>
  </si>
  <si>
    <t>EAW-512967XXXXXX4422-BWRO1028-LKARUR</t>
  </si>
  <si>
    <t>0000000000003202</t>
  </si>
  <si>
    <t>0000000000132692</t>
  </si>
  <si>
    <t>23/05/17</t>
  </si>
  <si>
    <t>50100179608510  -TPT-PAYBACK</t>
  </si>
  <si>
    <t>00000311633303A1</t>
  </si>
  <si>
    <t>0000714360243535</t>
  </si>
  <si>
    <t>24/05/17</t>
  </si>
  <si>
    <t>0000000000008907</t>
  </si>
  <si>
    <t>25/05/17</t>
  </si>
  <si>
    <t>0000714560036324</t>
  </si>
  <si>
    <t>0000000000055637</t>
  </si>
  <si>
    <t>26/05/17</t>
  </si>
  <si>
    <t>0000714660044428</t>
  </si>
  <si>
    <t>0000714600031599</t>
  </si>
  <si>
    <t>0000000000000382</t>
  </si>
  <si>
    <t>0000714660235167</t>
  </si>
  <si>
    <t>27/05/17</t>
  </si>
  <si>
    <t>0000000000192221</t>
  </si>
  <si>
    <t>0000000000240298</t>
  </si>
  <si>
    <t>POS 512967XXXXXX4422 AMAZON POS DEBIT</t>
  </si>
  <si>
    <t>0000IF5393048582</t>
  </si>
  <si>
    <t>28/05/17</t>
  </si>
  <si>
    <t>0000714840219638</t>
  </si>
  <si>
    <t>POS 512967XXXXXX4422 THE HUMMING TREE POS DEBIT</t>
  </si>
  <si>
    <t>0000000000001013</t>
  </si>
  <si>
    <t>29/05/17</t>
  </si>
  <si>
    <t>0000714900024471</t>
  </si>
  <si>
    <t>0000000000733125</t>
  </si>
  <si>
    <t>0000714940225870</t>
  </si>
  <si>
    <t>30/05/17</t>
  </si>
  <si>
    <t>0000715000021351</t>
  </si>
  <si>
    <t>0000000000010799</t>
  </si>
  <si>
    <t>31/05/17</t>
  </si>
  <si>
    <t>0000715160023538</t>
  </si>
  <si>
    <t>0000000000001905</t>
  </si>
  <si>
    <t>0000000000015101</t>
  </si>
  <si>
    <t>0000000000022430</t>
  </si>
  <si>
    <t>01/06/17</t>
  </si>
  <si>
    <t>0000000000022431</t>
  </si>
  <si>
    <t>0000000000005347</t>
  </si>
  <si>
    <t>02/06/17</t>
  </si>
  <si>
    <t>0000715340048910</t>
  </si>
  <si>
    <t>0000000000011718</t>
  </si>
  <si>
    <t>0000715360182797</t>
  </si>
  <si>
    <t>0000000000411239</t>
  </si>
  <si>
    <t>03/06/17</t>
  </si>
  <si>
    <t>POS 512967XXXXXX4422 WOW MOMO. POS DEBIT</t>
  </si>
  <si>
    <t>0000000000013554</t>
  </si>
  <si>
    <t>POS 512967XXXXXX4422 TATA STARBUCKS, POS DEBIT</t>
  </si>
  <si>
    <t>0000000000044766</t>
  </si>
  <si>
    <t>0000715440172217</t>
  </si>
  <si>
    <t>04/06/17</t>
  </si>
  <si>
    <t>0000000000043201</t>
  </si>
  <si>
    <t>POS 512967XXXXXX4422 ZAAK EPAYMENT SE POS DEBIT</t>
  </si>
  <si>
    <t>0000000000558604</t>
  </si>
  <si>
    <t>0000020019043680</t>
  </si>
  <si>
    <t>05/06/17</t>
  </si>
  <si>
    <t>0000000000011965</t>
  </si>
  <si>
    <t>POS 512967XXXXXX4422 RELIANCE DIGITAL POS DEBIT</t>
  </si>
  <si>
    <t>0000000000714503</t>
  </si>
  <si>
    <t>06/06/17</t>
  </si>
  <si>
    <t>POS 512967XXXXXX4422 CHILIS POS DEBIT</t>
  </si>
  <si>
    <t>0000000000010570</t>
  </si>
  <si>
    <t>0000000000004260</t>
  </si>
  <si>
    <t>07/06/17</t>
  </si>
  <si>
    <t>POS 512967XXXXXX4422 PAYTM POS DEBIT</t>
  </si>
  <si>
    <t>0000000000350854</t>
  </si>
  <si>
    <t>POS 512967XXXXXX4422 PAYU-WWW.OLACABS POS DEBIT</t>
  </si>
  <si>
    <t>0000040013336098</t>
  </si>
  <si>
    <t>0000000000012596</t>
  </si>
  <si>
    <t>POS 512967XXXXXX4422 JUST JUICE POS DEBIT</t>
  </si>
  <si>
    <t>0000000000222691</t>
  </si>
  <si>
    <t>08/06/17</t>
  </si>
  <si>
    <t>0000715960101029</t>
  </si>
  <si>
    <t>0000000000012890</t>
  </si>
  <si>
    <t>0000000000002911</t>
  </si>
  <si>
    <t>09/06/17</t>
  </si>
  <si>
    <t>0000000000013165</t>
  </si>
  <si>
    <t>0000716060202852</t>
  </si>
  <si>
    <t>10/06/17</t>
  </si>
  <si>
    <t>0000716140053906</t>
  </si>
  <si>
    <t>0000000000058916</t>
  </si>
  <si>
    <t>0000000000057254</t>
  </si>
  <si>
    <t>0000716100205727</t>
  </si>
  <si>
    <t>0000000000531528</t>
  </si>
  <si>
    <t>11/06/17</t>
  </si>
  <si>
    <t>0000000000878500</t>
  </si>
  <si>
    <t>NWD-512967XXXXXX4422-SACWG628-BANGLORE</t>
  </si>
  <si>
    <t>0000716220007189</t>
  </si>
  <si>
    <t>12/06/17</t>
  </si>
  <si>
    <t>0000000000013492</t>
  </si>
  <si>
    <t>0000000000004838</t>
  </si>
  <si>
    <t>13/06/17</t>
  </si>
  <si>
    <t>0000716400022264</t>
  </si>
  <si>
    <t>0000716460040548</t>
  </si>
  <si>
    <t>0000716460041688</t>
  </si>
  <si>
    <t>0000000000013706</t>
  </si>
  <si>
    <t>14/06/17</t>
  </si>
  <si>
    <t>0000716540034505</t>
  </si>
  <si>
    <t>0000000000014017</t>
  </si>
  <si>
    <t>0000716660044136</t>
  </si>
  <si>
    <t>0000000000014351</t>
  </si>
  <si>
    <t>ATW-512967XXXXXX4422-S1AWGN04-BANGALORE-URB</t>
  </si>
  <si>
    <t>0000000000006956</t>
  </si>
  <si>
    <t>NWD-512967XXXXXX4422-ABL9010-BANGALORE</t>
  </si>
  <si>
    <t>0000716614298831</t>
  </si>
  <si>
    <t>15/07/17</t>
  </si>
  <si>
    <t>0000000000570332</t>
  </si>
  <si>
    <t>0000000000113479</t>
  </si>
  <si>
    <t>ARBOR</t>
  </si>
  <si>
    <t>EAW</t>
  </si>
  <si>
    <t>BIERE</t>
  </si>
  <si>
    <t>PAYTM MOBILE</t>
  </si>
  <si>
    <t>BULL RING</t>
  </si>
  <si>
    <t>BANGALORE METRO</t>
  </si>
  <si>
    <t>STARBUCKS</t>
  </si>
  <si>
    <t>HYPERCITY</t>
  </si>
  <si>
    <t>NATURES</t>
  </si>
  <si>
    <t>Saved</t>
  </si>
  <si>
    <t>Budget</t>
  </si>
  <si>
    <t>n/a</t>
  </si>
  <si>
    <t>Month</t>
  </si>
  <si>
    <t>Total Spend</t>
  </si>
  <si>
    <t>YTD</t>
  </si>
  <si>
    <t>(Bar Start)</t>
  </si>
  <si>
    <t>Step1</t>
  </si>
  <si>
    <t>Step2</t>
  </si>
  <si>
    <t>Step3</t>
  </si>
  <si>
    <t>Step4</t>
  </si>
  <si>
    <t>Step5</t>
  </si>
  <si>
    <t>Step7</t>
  </si>
  <si>
    <t>Step8</t>
  </si>
  <si>
    <t>Step9</t>
  </si>
  <si>
    <t>Actual</t>
  </si>
  <si>
    <t>Total</t>
  </si>
  <si>
    <t>Step10</t>
  </si>
  <si>
    <t>Month to display</t>
  </si>
  <si>
    <t>Rolling Saved</t>
  </si>
  <si>
    <t>Rolling Budget</t>
  </si>
  <si>
    <t>Saving</t>
  </si>
  <si>
    <t>Monthly Summary</t>
  </si>
  <si>
    <t>16/07/17</t>
  </si>
  <si>
    <t>0000719760213388</t>
  </si>
  <si>
    <t>0000719760281208</t>
  </si>
  <si>
    <t>0000000000473277</t>
  </si>
  <si>
    <t>17/07/17</t>
  </si>
  <si>
    <t>0000000000020441</t>
  </si>
  <si>
    <t>0000719840244489</t>
  </si>
  <si>
    <t>0000719821164687</t>
  </si>
  <si>
    <t>18/07/17</t>
  </si>
  <si>
    <t>0000000000020680</t>
  </si>
  <si>
    <t>0000000000120041</t>
  </si>
  <si>
    <t>19/07/17</t>
  </si>
  <si>
    <t>0000720060253930</t>
  </si>
  <si>
    <t>0000000000020902</t>
  </si>
  <si>
    <t>0000000000005357</t>
  </si>
  <si>
    <t>0000040015396150</t>
  </si>
  <si>
    <t>20/07/17</t>
  </si>
  <si>
    <t>0000720160051405</t>
  </si>
  <si>
    <t>0000000000005032</t>
  </si>
  <si>
    <t>0000000000001716</t>
  </si>
  <si>
    <t>21/07/17</t>
  </si>
  <si>
    <t>0000000000021403</t>
  </si>
  <si>
    <t>22/07/17</t>
  </si>
  <si>
    <t>0000720340015568</t>
  </si>
  <si>
    <t>0000030009588925</t>
  </si>
  <si>
    <t>23/07/17</t>
  </si>
  <si>
    <t>0000720460020709</t>
  </si>
  <si>
    <t>POS 512967XXXXXX4422 INDIAN PARANTHA POS DEBIT</t>
  </si>
  <si>
    <t>0000000000010197</t>
  </si>
  <si>
    <t>0000720400105841</t>
  </si>
  <si>
    <t>POS 512967XXXXXX4422 PTM*ONE97 COMMUN POS DEBIT</t>
  </si>
  <si>
    <t>0000720460231448</t>
  </si>
  <si>
    <t>0000720460232680</t>
  </si>
  <si>
    <t>0000000000174313</t>
  </si>
  <si>
    <t>24/07/17</t>
  </si>
  <si>
    <t>0000720400195147</t>
  </si>
  <si>
    <t>0000720540060446</t>
  </si>
  <si>
    <t>0000000000021684</t>
  </si>
  <si>
    <t>0000720540256162</t>
  </si>
  <si>
    <t>0000000000172104</t>
  </si>
  <si>
    <t>0000720521165500</t>
  </si>
  <si>
    <t>25/07/17</t>
  </si>
  <si>
    <t>0000720640023705</t>
  </si>
  <si>
    <t>0000720600045610</t>
  </si>
  <si>
    <t>0000000000022047</t>
  </si>
  <si>
    <t>0000720640152888</t>
  </si>
  <si>
    <t>26/07/17</t>
  </si>
  <si>
    <t>0000720740053304</t>
  </si>
  <si>
    <t>0000000000022282</t>
  </si>
  <si>
    <t>0000JF5529107368</t>
  </si>
  <si>
    <t>0000720760280640</t>
  </si>
  <si>
    <t>POS 512967XXXXXX4422 BENJARONG -KA-AS POS DEBIT</t>
  </si>
  <si>
    <t>0000000000210599</t>
  </si>
  <si>
    <t>27/07/17</t>
  </si>
  <si>
    <t>0000000000022579</t>
  </si>
  <si>
    <t>0000720800184849</t>
  </si>
  <si>
    <t>28/07/17</t>
  </si>
  <si>
    <t>0000720940043752</t>
  </si>
  <si>
    <t>0000000000066556</t>
  </si>
  <si>
    <t>0000000000046859</t>
  </si>
  <si>
    <t>POS 512967XXXXXX4422 STUDIO BAR POS DEBIT</t>
  </si>
  <si>
    <t>0000000000000719</t>
  </si>
  <si>
    <t>0000720940213099</t>
  </si>
  <si>
    <t>29/07/17</t>
  </si>
  <si>
    <t>POS 512967XXXXXX4422 CITRUS PAY ACTTV POS DEBIT</t>
  </si>
  <si>
    <t>0000721000044166</t>
  </si>
  <si>
    <t>0000721040151843</t>
  </si>
  <si>
    <t>0000030010151979</t>
  </si>
  <si>
    <t>POS 512967XXXXXX4422 TOTAL ENVIRONMEN POS DEBIT</t>
  </si>
  <si>
    <t>0000000000281275</t>
  </si>
  <si>
    <t>POS 512967XXXXXX4422 SILVER OAK BAR A POS DEBIT</t>
  </si>
  <si>
    <t>0000000000011199</t>
  </si>
  <si>
    <t>30/07/17</t>
  </si>
  <si>
    <t>0000721140004916</t>
  </si>
  <si>
    <t>0000721114166278</t>
  </si>
  <si>
    <t>POS 512967XXXXXX4422 FREE KICK ARENAS POS DEBIT</t>
  </si>
  <si>
    <t>0000000000000069</t>
  </si>
  <si>
    <t>POS 512967XXXXXX4422 LABAMBA FASHIONS POS DEBIT</t>
  </si>
  <si>
    <t>0000000000013976</t>
  </si>
  <si>
    <t>POS 512967XXXXXX4422 BRIK OVEN POS DEBIT</t>
  </si>
  <si>
    <t>0000000000017196</t>
  </si>
  <si>
    <t>31/07/17</t>
  </si>
  <si>
    <t>0000721240046170</t>
  </si>
  <si>
    <t>0000000000002002</t>
  </si>
  <si>
    <t>0000000000003199</t>
  </si>
  <si>
    <t>0000721200179152</t>
  </si>
  <si>
    <t>01/08/17</t>
  </si>
  <si>
    <t>POS 512967XXXXXX4422 BUREAU OF IMMIGR POS DEBIT</t>
  </si>
  <si>
    <t>0000000000015420</t>
  </si>
  <si>
    <t>0000000000141248</t>
  </si>
  <si>
    <t>02/08/17</t>
  </si>
  <si>
    <t>0000721400024270</t>
  </si>
  <si>
    <t>0000000000067073</t>
  </si>
  <si>
    <t>0000000000130486</t>
  </si>
  <si>
    <t>0000000000000811</t>
  </si>
  <si>
    <t>0000000000021002</t>
  </si>
  <si>
    <t>03/08/17</t>
  </si>
  <si>
    <t>0000721560053068</t>
  </si>
  <si>
    <t>0000721500030112</t>
  </si>
  <si>
    <t>0000000000023890</t>
  </si>
  <si>
    <t>0000721500121330</t>
  </si>
  <si>
    <t>EAW-512967XXXXXX4422-BLON1840-TEDM.G RD</t>
  </si>
  <si>
    <t>0000721513252705</t>
  </si>
  <si>
    <t>0000000000283775</t>
  </si>
  <si>
    <t>04/08/17</t>
  </si>
  <si>
    <t>0000721600020325</t>
  </si>
  <si>
    <t>0000000000024169</t>
  </si>
  <si>
    <t>0000000000150506</t>
  </si>
  <si>
    <t>0000721600132096</t>
  </si>
  <si>
    <t>0000721600976859</t>
  </si>
  <si>
    <t>0000000000047135</t>
  </si>
  <si>
    <t>0000721600192600</t>
  </si>
  <si>
    <t>05/08/17</t>
  </si>
  <si>
    <t>0000721760003447</t>
  </si>
  <si>
    <t>NWD-512967XXXXXX4422-DA150009-BANGALORE</t>
  </si>
  <si>
    <t>0000721601498825</t>
  </si>
  <si>
    <t>0000000000290124</t>
  </si>
  <si>
    <t>POS 512967XXXXXX4422 IRCTC_PAYTM POS DEBIT</t>
  </si>
  <si>
    <t>0000000000462174</t>
  </si>
  <si>
    <t>0000000000476578</t>
  </si>
  <si>
    <t>0000721740163165</t>
  </si>
  <si>
    <t>POS 512967XXXXXX4422 VICEROYS SARATHI POS DEBIT</t>
  </si>
  <si>
    <t>0000000000427960</t>
  </si>
  <si>
    <t>06/08/17</t>
  </si>
  <si>
    <t>POS 512967XXXXXX4422 612 EAST POS DEBIT</t>
  </si>
  <si>
    <t>0000000000001110</t>
  </si>
  <si>
    <t>POS 512967XXXXXX4422 AIRLINES HOTEL POS DEBIT</t>
  </si>
  <si>
    <t>0000000000000498</t>
  </si>
  <si>
    <t>POS 512967XXXXXX4422 THE OPEN BOX POS DEBIT</t>
  </si>
  <si>
    <t>0000000000006735</t>
  </si>
  <si>
    <t>0000721860235430</t>
  </si>
  <si>
    <t>POS 512967XXXXXX4422 HOTEL NAVAYUGA POS DEBIT</t>
  </si>
  <si>
    <t>0000000000010083</t>
  </si>
  <si>
    <t>07/08/17</t>
  </si>
  <si>
    <t>EAW-512967XXXXXX4422-ID103901-BELLARY</t>
  </si>
  <si>
    <t>0000721902574057</t>
  </si>
  <si>
    <t>09/08/17</t>
  </si>
  <si>
    <t>NWD-512967XXXXXX4422-40305804-BELLARY</t>
  </si>
  <si>
    <t>0000722114008646</t>
  </si>
  <si>
    <t>CCAEH1AAY686/CCADVTRAVELSGURUPVTL</t>
  </si>
  <si>
    <t>0000172212651061</t>
  </si>
  <si>
    <t>POS 512967XXXXXX4422 TRAVELGURU_COM_C POS DEBIT</t>
  </si>
  <si>
    <t>0000000000893778</t>
  </si>
  <si>
    <t>10/08/17</t>
  </si>
  <si>
    <t>ATW-512967XXXXXX4422-P1DCGO27-NORTH GOA</t>
  </si>
  <si>
    <t>0000000000006726</t>
  </si>
  <si>
    <t>POS 512967XXXXXX4422 BRITTOS BAR POS DEBIT</t>
  </si>
  <si>
    <t>0000000000001172</t>
  </si>
  <si>
    <t>11/08/17</t>
  </si>
  <si>
    <t>POS 512967XXXXXX4422 GASTRONOME PARTN POS DEBIT</t>
  </si>
  <si>
    <t>0000000000000063</t>
  </si>
  <si>
    <t>12/08/17</t>
  </si>
  <si>
    <t>POS 512967XXXXXX4422 ERA HOSPITALITY POS DEBIT</t>
  </si>
  <si>
    <t>0000000000371130</t>
  </si>
  <si>
    <t>NWD-512967XXXXXX4422-08291621-UTTARA KANNAD</t>
  </si>
  <si>
    <t>0000722421031859</t>
  </si>
  <si>
    <t>14/08/17</t>
  </si>
  <si>
    <t>NWD-512967XXXXXX4422-A0306001-KARWAR</t>
  </si>
  <si>
    <t>0000722615190207</t>
  </si>
  <si>
    <t>NEFT CR-HSBC0400002-SALARY AND BULK PAYMENTS-LAWRENCE JAMES ROBSON COX-HSBCN17226408252</t>
  </si>
  <si>
    <t>HSBCN17226408252</t>
  </si>
  <si>
    <t>POS 512967XXXXXX4422 PAY*REDBUS IN POS DEBIT</t>
  </si>
  <si>
    <t>0000722640280178</t>
  </si>
  <si>
    <t>15/08/17</t>
  </si>
  <si>
    <t>NWD-512967XXXXXX4422-KBL17005-MANGALORE</t>
  </si>
  <si>
    <t>0000722712392890</t>
  </si>
  <si>
    <t>Statement From  :  01/05/2017         To  :  31/08/2017</t>
  </si>
  <si>
    <t>16/08/17</t>
  </si>
  <si>
    <t>0000000000025729</t>
  </si>
  <si>
    <t>0000722800128150</t>
  </si>
  <si>
    <t>0000722860248904</t>
  </si>
  <si>
    <t>POS 512967XXXXXX4422 HARIMA RESTAURAN POS DEBIT</t>
  </si>
  <si>
    <t>0000000000011497</t>
  </si>
  <si>
    <t>17/08/17</t>
  </si>
  <si>
    <t>0000722940047173</t>
  </si>
  <si>
    <t>0000000000049655</t>
  </si>
  <si>
    <t>0000722900129035</t>
  </si>
  <si>
    <t>0000722960261749</t>
  </si>
  <si>
    <t>POS 512967XXXXXX4422 BANGALORE BREW POS DEBIT</t>
  </si>
  <si>
    <t>0000000000000383</t>
  </si>
  <si>
    <t>0000722940318028</t>
  </si>
  <si>
    <t>18/08/17</t>
  </si>
  <si>
    <t>0000723012168119</t>
  </si>
  <si>
    <t>POS 512967XXXXXX4422 RICHMOND SUPER M POS DEBIT</t>
  </si>
  <si>
    <t>0000000000620814</t>
  </si>
  <si>
    <t>POS 512967XXXXXX4422 ZES*INSTAMOJO TE POS DEBIT</t>
  </si>
  <si>
    <t>0000723070134260</t>
  </si>
  <si>
    <t>REF-CCADVTRA-CCAEH1AAY686-9/8/17</t>
  </si>
  <si>
    <t>POS 512967XXXXXX4422 FOODWORLD POS DEBIT</t>
  </si>
  <si>
    <t>0000000000018072</t>
  </si>
  <si>
    <t>0000000000008012</t>
  </si>
  <si>
    <t>19/08/17</t>
  </si>
  <si>
    <t>NWD-512967XXXXXX4422-08887407-BANGALORE</t>
  </si>
  <si>
    <t>0000723112002401</t>
  </si>
  <si>
    <t>POS 512967XXXXXX4422 EVENTSHIGH_PAYTM POS DEBIT</t>
  </si>
  <si>
    <t>0000000000086227</t>
  </si>
  <si>
    <t>0000020025545436</t>
  </si>
  <si>
    <t>20/08/17</t>
  </si>
  <si>
    <t>0000723200005423</t>
  </si>
  <si>
    <t>0000030011996731</t>
  </si>
  <si>
    <t>0000723260173630</t>
  </si>
  <si>
    <t>0000000000250672</t>
  </si>
  <si>
    <t>21/08/17</t>
  </si>
  <si>
    <t>0000010025621003</t>
  </si>
  <si>
    <t>0000000000580087</t>
  </si>
  <si>
    <t>0000723360007760</t>
  </si>
  <si>
    <t>0000723360028790</t>
  </si>
  <si>
    <t>0000040018002967</t>
  </si>
  <si>
    <t>0000000000026348</t>
  </si>
  <si>
    <t>22/08/17</t>
  </si>
  <si>
    <t>0000723400025962</t>
  </si>
  <si>
    <t>0000000000026656</t>
  </si>
  <si>
    <t>23/08/17</t>
  </si>
  <si>
    <t>0000000000026854</t>
  </si>
  <si>
    <t>0000000000010707</t>
  </si>
  <si>
    <t>0000723500113855</t>
  </si>
  <si>
    <t>0000020025849128</t>
  </si>
  <si>
    <t>0000000000000923</t>
  </si>
  <si>
    <t>0000000000018312</t>
  </si>
  <si>
    <t>0000000000002909</t>
  </si>
  <si>
    <t>24/08/17</t>
  </si>
  <si>
    <t>0000000000068983</t>
  </si>
  <si>
    <t>0000723640219823</t>
  </si>
  <si>
    <t>0000000000007004</t>
  </si>
  <si>
    <t>0000723600188966</t>
  </si>
  <si>
    <t>25/08/17</t>
  </si>
  <si>
    <t>0000030012384812</t>
  </si>
  <si>
    <t>0000000000481679</t>
  </si>
  <si>
    <t>POS 512967XXXXXX4422 FINE FOOD AND HO POS DEBIT</t>
  </si>
  <si>
    <t>0000000000011217</t>
  </si>
  <si>
    <t>26/08/17</t>
  </si>
  <si>
    <t>0000000000009974</t>
  </si>
  <si>
    <t>0000723840003199</t>
  </si>
  <si>
    <t>0000723840006094</t>
  </si>
  <si>
    <t>0000040018408485</t>
  </si>
  <si>
    <t>0000010026077451</t>
  </si>
  <si>
    <t>27/08/17</t>
  </si>
  <si>
    <t>0000010026106925</t>
  </si>
  <si>
    <t>28/08/17</t>
  </si>
  <si>
    <t>0000000000027323</t>
  </si>
  <si>
    <t>0000724000099816</t>
  </si>
  <si>
    <t>0000000000501727</t>
  </si>
  <si>
    <t>29/08/17</t>
  </si>
  <si>
    <t>0000724140045589</t>
  </si>
  <si>
    <t>0000000000027619</t>
  </si>
  <si>
    <t>0000724100096621</t>
  </si>
  <si>
    <t>0000000000280452</t>
  </si>
  <si>
    <t>0000000000441618</t>
  </si>
  <si>
    <t>30/08/17</t>
  </si>
  <si>
    <t>0000724200023314</t>
  </si>
  <si>
    <t>0000000000051581</t>
  </si>
  <si>
    <t>0000724240185991</t>
  </si>
  <si>
    <t>0000000000171517</t>
  </si>
  <si>
    <t>0000724221169170</t>
  </si>
  <si>
    <t>31/08/17</t>
  </si>
  <si>
    <t>0000724300020331</t>
  </si>
  <si>
    <t>0000000000003161</t>
  </si>
  <si>
    <t>POS 512967XXXXXX4422 TAMBRES POS DEBIT</t>
  </si>
  <si>
    <t>0000000000000427</t>
  </si>
  <si>
    <t>01-Sep-2017 21:33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</si>
</sst>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800]dddd\,\ mmmm\ dd\,\ yyyy"/>
    <numFmt numFmtId="165" formatCode="#,##0_-[$₹-44D]"/>
  </numFmts>
  <fonts count="19" x14ac:knownFonts="1">
    <font>
      <sz val="10"/>
      <name val="Arial"/>
    </font>
    <font>
      <sz val="10"/>
      <color theme="0"/>
      <name val="Arial"/>
      <family val="2"/>
    </font>
    <font>
      <sz val="10"/>
      <color theme="1"/>
      <name val="Arial"/>
      <family val="2"/>
    </font>
    <font>
      <b/>
      <sz val="13"/>
      <color theme="3"/>
      <name val="Calibri"/>
      <family val="2"/>
      <scheme val="minor"/>
    </font>
    <font>
      <sz val="9"/>
      <color theme="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sz val="9"/>
      <color theme="1"/>
      <name val="Arial"/>
      <family val="2"/>
    </font>
    <font>
      <sz val="10"/>
      <name val="Verdana"/>
      <family val="2"/>
    </font>
    <font>
      <b/>
      <u val="double"/>
      <sz val="10"/>
      <color theme="3"/>
      <name val="Verdana"/>
      <family val="2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8"/>
      <name val="Verdana"/>
      <family val="2"/>
    </font>
    <font>
      <b/>
      <sz val="8"/>
      <color theme="0"/>
      <name val="Verdana"/>
      <family val="2"/>
    </font>
    <font>
      <sz val="8"/>
      <color theme="1"/>
      <name val="Verdana"/>
      <family val="2"/>
    </font>
    <font>
      <sz val="8"/>
      <name val="Verdana"/>
      <family val="2"/>
    </font>
    <font>
      <sz val="8"/>
      <color theme="0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theme="4" tint="-0.249977111117893"/>
      </patternFill>
    </fill>
    <fill>
      <patternFill patternType="solid">
        <fgColor theme="4"/>
        <bgColor theme="4"/>
      </patternFill>
    </fill>
    <fill>
      <patternFill patternType="solid">
        <fgColor theme="9"/>
        <bgColor theme="4" tint="-0.249977111117893"/>
      </patternFill>
    </fill>
    <fill>
      <patternFill patternType="solid">
        <fgColor theme="1"/>
        <bgColor theme="1"/>
      </patternFill>
    </fill>
    <fill>
      <patternFill patternType="solid">
        <fgColor theme="3" tint="0.79998168889431442"/>
        <bgColor indexed="64"/>
      </patternFill>
    </fill>
  </fills>
  <borders count="36">
    <border>
      <left/>
      <right/>
      <top/>
      <bottom/>
      <diagonal/>
    </border>
    <border>
      <left/>
      <right/>
      <top style="medium">
        <color theme="0"/>
      </top>
      <bottom/>
      <diagonal/>
    </border>
    <border>
      <left/>
      <right/>
      <top/>
      <bottom style="thick">
        <color theme="4" tint="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theme="0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/>
      <top/>
      <bottom style="thin">
        <color indexed="64"/>
      </bottom>
      <diagonal/>
    </border>
    <border>
      <left/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</borders>
  <cellStyleXfs count="2">
    <xf numFmtId="0" fontId="0" fillId="0" borderId="0"/>
    <xf numFmtId="0" fontId="3" fillId="0" borderId="2" applyNumberFormat="0" applyFill="0" applyAlignment="0" applyProtection="0"/>
  </cellStyleXfs>
  <cellXfs count="85">
    <xf numFmtId="0" fontId="0" fillId="0" borderId="0" xfId="0"/>
    <xf numFmtId="0" fontId="5" fillId="6" borderId="0" xfId="0" applyFont="1" applyFill="1"/>
    <xf numFmtId="0" fontId="6" fillId="0" borderId="0" xfId="0" applyFont="1"/>
    <xf numFmtId="0" fontId="7" fillId="5" borderId="0" xfId="0" applyFont="1" applyFill="1" applyBorder="1"/>
    <xf numFmtId="164" fontId="1" fillId="2" borderId="1" xfId="0" applyNumberFormat="1" applyFont="1" applyFill="1" applyBorder="1"/>
    <xf numFmtId="0" fontId="4" fillId="2" borderId="1" xfId="0" applyFont="1" applyFill="1" applyBorder="1"/>
    <xf numFmtId="0" fontId="1" fillId="2" borderId="1" xfId="0" applyFont="1" applyFill="1" applyBorder="1"/>
    <xf numFmtId="0" fontId="2" fillId="4" borderId="1" xfId="0" applyFont="1" applyFill="1" applyBorder="1" applyAlignment="1"/>
    <xf numFmtId="0" fontId="1" fillId="3" borderId="0" xfId="0" applyFont="1" applyFill="1" applyAlignment="1"/>
    <xf numFmtId="0" fontId="1" fillId="2" borderId="0" xfId="0" applyFont="1" applyFill="1" applyAlignment="1"/>
    <xf numFmtId="0" fontId="8" fillId="4" borderId="4" xfId="0" applyFont="1" applyFill="1" applyBorder="1" applyAlignment="1"/>
    <xf numFmtId="0" fontId="4" fillId="3" borderId="4" xfId="0" applyFont="1" applyFill="1" applyBorder="1" applyAlignment="1"/>
    <xf numFmtId="0" fontId="4" fillId="2" borderId="4" xfId="0" applyFont="1" applyFill="1" applyBorder="1" applyAlignment="1"/>
    <xf numFmtId="0" fontId="4" fillId="3" borderId="5" xfId="0" applyFont="1" applyFill="1" applyBorder="1" applyAlignment="1"/>
    <xf numFmtId="0" fontId="8" fillId="4" borderId="1" xfId="0" applyFont="1" applyFill="1" applyBorder="1" applyAlignment="1"/>
    <xf numFmtId="0" fontId="4" fillId="3" borderId="0" xfId="0" applyFont="1" applyFill="1" applyBorder="1" applyAlignment="1"/>
    <xf numFmtId="0" fontId="4" fillId="2" borderId="0" xfId="0" applyFont="1" applyFill="1" applyBorder="1" applyAlignment="1"/>
    <xf numFmtId="0" fontId="4" fillId="3" borderId="7" xfId="0" applyFont="1" applyFill="1" applyBorder="1" applyAlignment="1"/>
    <xf numFmtId="0" fontId="8" fillId="4" borderId="9" xfId="0" applyFont="1" applyFill="1" applyBorder="1" applyAlignment="1"/>
    <xf numFmtId="0" fontId="4" fillId="3" borderId="10" xfId="0" applyFont="1" applyFill="1" applyBorder="1" applyAlignment="1"/>
    <xf numFmtId="0" fontId="4" fillId="2" borderId="10" xfId="0" applyFont="1" applyFill="1" applyBorder="1" applyAlignment="1"/>
    <xf numFmtId="0" fontId="4" fillId="3" borderId="11" xfId="0" applyFont="1" applyFill="1" applyBorder="1" applyAlignment="1"/>
    <xf numFmtId="0" fontId="1" fillId="2" borderId="0" xfId="0" applyFont="1" applyFill="1" applyBorder="1"/>
    <xf numFmtId="14" fontId="0" fillId="0" borderId="0" xfId="0" applyNumberFormat="1"/>
    <xf numFmtId="14" fontId="1" fillId="2" borderId="0" xfId="0" applyNumberFormat="1" applyFont="1" applyFill="1" applyAlignment="1"/>
    <xf numFmtId="14" fontId="1" fillId="3" borderId="0" xfId="0" applyNumberFormat="1" applyFont="1" applyFill="1" applyAlignment="1"/>
    <xf numFmtId="165" fontId="2" fillId="4" borderId="1" xfId="0" applyNumberFormat="1" applyFont="1" applyFill="1" applyBorder="1"/>
    <xf numFmtId="165" fontId="1" fillId="3" borderId="0" xfId="0" applyNumberFormat="1" applyFont="1" applyFill="1" applyAlignment="1"/>
    <xf numFmtId="165" fontId="1" fillId="2" borderId="0" xfId="0" applyNumberFormat="1" applyFont="1" applyFill="1" applyAlignment="1"/>
    <xf numFmtId="17" fontId="0" fillId="0" borderId="0" xfId="0" applyNumberFormat="1"/>
    <xf numFmtId="17" fontId="7" fillId="5" borderId="0" xfId="0" applyNumberFormat="1" applyFont="1" applyFill="1" applyBorder="1"/>
    <xf numFmtId="0" fontId="0" fillId="0" borderId="12" xfId="0" applyBorder="1"/>
    <xf numFmtId="0" fontId="2" fillId="4" borderId="12" xfId="0" applyFont="1" applyFill="1" applyBorder="1" applyAlignment="1"/>
    <xf numFmtId="0" fontId="0" fillId="0" borderId="13" xfId="0" applyBorder="1"/>
    <xf numFmtId="0" fontId="1" fillId="3" borderId="12" xfId="0" applyFont="1" applyFill="1" applyBorder="1" applyAlignment="1"/>
    <xf numFmtId="1" fontId="0" fillId="0" borderId="12" xfId="0" applyNumberFormat="1" applyBorder="1"/>
    <xf numFmtId="1" fontId="0" fillId="0" borderId="0" xfId="0" applyNumberFormat="1"/>
    <xf numFmtId="1" fontId="0" fillId="0" borderId="13" xfId="0" applyNumberFormat="1" applyBorder="1"/>
    <xf numFmtId="1" fontId="0" fillId="0" borderId="0" xfId="0" applyNumberFormat="1" applyBorder="1"/>
    <xf numFmtId="0" fontId="0" fillId="0" borderId="0" xfId="0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1" fontId="0" fillId="0" borderId="18" xfId="0" applyNumberFormat="1" applyBorder="1"/>
    <xf numFmtId="1" fontId="0" fillId="0" borderId="24" xfId="0" applyNumberFormat="1" applyBorder="1"/>
    <xf numFmtId="1" fontId="0" fillId="0" borderId="19" xfId="0" applyNumberFormat="1" applyBorder="1"/>
    <xf numFmtId="1" fontId="0" fillId="0" borderId="20" xfId="0" applyNumberFormat="1" applyBorder="1"/>
    <xf numFmtId="1" fontId="0" fillId="0" borderId="26" xfId="0" applyNumberFormat="1" applyBorder="1"/>
    <xf numFmtId="1" fontId="0" fillId="0" borderId="25" xfId="0" applyNumberFormat="1" applyBorder="1"/>
    <xf numFmtId="17" fontId="5" fillId="6" borderId="0" xfId="0" applyNumberFormat="1" applyFont="1" applyFill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9" fillId="0" borderId="27" xfId="0" applyFont="1" applyBorder="1"/>
    <xf numFmtId="0" fontId="9" fillId="0" borderId="28" xfId="0" applyFont="1" applyBorder="1"/>
    <xf numFmtId="0" fontId="9" fillId="0" borderId="34" xfId="0" applyFont="1" applyBorder="1"/>
    <xf numFmtId="0" fontId="9" fillId="0" borderId="35" xfId="0" applyFont="1" applyBorder="1"/>
    <xf numFmtId="1" fontId="9" fillId="0" borderId="29" xfId="0" applyNumberFormat="1" applyFont="1" applyBorder="1"/>
    <xf numFmtId="0" fontId="0" fillId="0" borderId="0" xfId="0"/>
    <xf numFmtId="0" fontId="0" fillId="0" borderId="0" xfId="0" applyNumberFormat="1"/>
    <xf numFmtId="0" fontId="14" fillId="6" borderId="0" xfId="0" applyFont="1" applyFill="1"/>
    <xf numFmtId="17" fontId="15" fillId="5" borderId="0" xfId="0" applyNumberFormat="1" applyFont="1" applyFill="1" applyBorder="1"/>
    <xf numFmtId="17" fontId="15" fillId="5" borderId="15" xfId="0" applyNumberFormat="1" applyFont="1" applyFill="1" applyBorder="1"/>
    <xf numFmtId="0" fontId="16" fillId="4" borderId="12" xfId="0" applyFont="1" applyFill="1" applyBorder="1" applyAlignment="1"/>
    <xf numFmtId="1" fontId="17" fillId="0" borderId="12" xfId="0" applyNumberFormat="1" applyFont="1" applyBorder="1"/>
    <xf numFmtId="1" fontId="17" fillId="0" borderId="16" xfId="0" applyNumberFormat="1" applyFont="1" applyBorder="1"/>
    <xf numFmtId="0" fontId="18" fillId="3" borderId="0" xfId="0" applyFont="1" applyFill="1" applyAlignment="1"/>
    <xf numFmtId="1" fontId="17" fillId="0" borderId="0" xfId="0" applyNumberFormat="1" applyFont="1"/>
    <xf numFmtId="1" fontId="17" fillId="0" borderId="17" xfId="0" applyNumberFormat="1" applyFont="1" applyBorder="1"/>
    <xf numFmtId="0" fontId="18" fillId="2" borderId="0" xfId="0" applyFont="1" applyFill="1" applyAlignment="1"/>
    <xf numFmtId="0" fontId="18" fillId="2" borderId="13" xfId="0" applyFont="1" applyFill="1" applyBorder="1" applyAlignment="1"/>
    <xf numFmtId="1" fontId="17" fillId="0" borderId="13" xfId="0" applyNumberFormat="1" applyFont="1" applyBorder="1"/>
    <xf numFmtId="1" fontId="17" fillId="0" borderId="15" xfId="0" applyNumberFormat="1" applyFont="1" applyBorder="1"/>
    <xf numFmtId="0" fontId="18" fillId="3" borderId="13" xfId="0" applyFont="1" applyFill="1" applyBorder="1" applyAlignment="1"/>
    <xf numFmtId="0" fontId="18" fillId="2" borderId="12" xfId="0" applyFont="1" applyFill="1" applyBorder="1" applyAlignment="1"/>
    <xf numFmtId="0" fontId="17" fillId="0" borderId="12" xfId="0" applyFont="1" applyBorder="1"/>
    <xf numFmtId="0" fontId="17" fillId="0" borderId="14" xfId="0" applyFont="1" applyBorder="1"/>
    <xf numFmtId="17" fontId="9" fillId="0" borderId="30" xfId="0" applyNumberFormat="1" applyFont="1" applyBorder="1" applyAlignment="1">
      <alignment horizontal="center"/>
    </xf>
    <xf numFmtId="17" fontId="9" fillId="0" borderId="31" xfId="0" applyNumberFormat="1" applyFont="1" applyBorder="1" applyAlignment="1">
      <alignment horizontal="center"/>
    </xf>
    <xf numFmtId="0" fontId="9" fillId="0" borderId="32" xfId="0" applyFont="1" applyBorder="1" applyAlignment="1">
      <alignment horizontal="center"/>
    </xf>
    <xf numFmtId="0" fontId="9" fillId="0" borderId="33" xfId="0" applyFont="1" applyBorder="1" applyAlignment="1">
      <alignment horizontal="center"/>
    </xf>
    <xf numFmtId="0" fontId="10" fillId="0" borderId="27" xfId="1" applyFont="1" applyBorder="1" applyAlignment="1">
      <alignment horizontal="center"/>
    </xf>
    <xf numFmtId="0" fontId="5" fillId="6" borderId="3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/>
    </xf>
    <xf numFmtId="0" fontId="5" fillId="6" borderId="8" xfId="0" applyFont="1" applyFill="1" applyBorder="1" applyAlignment="1">
      <alignment horizontal="center" vertical="center"/>
    </xf>
  </cellXfs>
  <cellStyles count="2">
    <cellStyle name="Heading 2" xfId="1" builtinId="1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Breakdown!$B$16</c:f>
          <c:strCache>
            <c:ptCount val="1"/>
            <c:pt idx="0">
              <c:v>Breakdown for period 01-Jul-2017 to 31-Jul-2017</c:v>
            </c:pt>
          </c:strCache>
        </c:strRef>
      </c:tx>
      <c:layout>
        <c:manualLayout>
          <c:xMode val="edge"/>
          <c:yMode val="edge"/>
          <c:x val="0.12140341472218305"/>
          <c:y val="2.3921762580947629E-2"/>
        </c:manualLayout>
      </c:layout>
      <c:overlay val="0"/>
      <c:txPr>
        <a:bodyPr/>
        <a:lstStyle/>
        <a:p>
          <a:pPr>
            <a:defRPr sz="900" b="1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9810099135971743"/>
          <c:y val="0.1050120912279337"/>
          <c:w val="0.70424888027521437"/>
          <c:h val="0.723371836400246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dPt>
            <c:idx val="5"/>
            <c:invertIfNegative val="0"/>
            <c:bubble3D val="0"/>
            <c:spPr>
              <a:solidFill>
                <a:srgbClr val="FFC000"/>
              </a:solidFill>
              <a:ln>
                <a:solidFill>
                  <a:srgbClr val="FFFF00"/>
                </a:solidFill>
              </a:ln>
            </c:spPr>
          </c:dPt>
          <c:dLbls>
            <c:txPr>
              <a:bodyPr/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Breakdown!$B$3:$B$10</c:f>
              <c:strCache>
                <c:ptCount val="8"/>
                <c:pt idx="0">
                  <c:v>Travel</c:v>
                </c:pt>
                <c:pt idx="1">
                  <c:v>Work Lunch</c:v>
                </c:pt>
                <c:pt idx="2">
                  <c:v>One-off</c:v>
                </c:pt>
                <c:pt idx="3">
                  <c:v>Food &amp; Drink</c:v>
                </c:pt>
                <c:pt idx="4">
                  <c:v>Miscellaneous </c:v>
                </c:pt>
                <c:pt idx="5">
                  <c:v>Cash Withdrawal</c:v>
                </c:pt>
                <c:pt idx="6">
                  <c:v>Holiday</c:v>
                </c:pt>
                <c:pt idx="7">
                  <c:v>Unknown</c:v>
                </c:pt>
              </c:strCache>
            </c:strRef>
          </c:cat>
          <c:val>
            <c:numRef>
              <c:f>Breakdown!$C$3:$C$10</c:f>
              <c:numCache>
                <c:formatCode>#,##0_-[$₹-44D]</c:formatCode>
                <c:ptCount val="8"/>
                <c:pt idx="0">
                  <c:v>6341.96</c:v>
                </c:pt>
                <c:pt idx="1">
                  <c:v>1786</c:v>
                </c:pt>
                <c:pt idx="2">
                  <c:v>0</c:v>
                </c:pt>
                <c:pt idx="3">
                  <c:v>20758</c:v>
                </c:pt>
                <c:pt idx="4">
                  <c:v>7143</c:v>
                </c:pt>
                <c:pt idx="5">
                  <c:v>30200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0572416"/>
        <c:axId val="80570624"/>
      </c:barChart>
      <c:valAx>
        <c:axId val="80570624"/>
        <c:scaling>
          <c:orientation val="minMax"/>
        </c:scaling>
        <c:delete val="0"/>
        <c:axPos val="b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0572416"/>
        <c:crosses val="autoZero"/>
        <c:crossBetween val="between"/>
      </c:valAx>
      <c:catAx>
        <c:axId val="80572416"/>
        <c:scaling>
          <c:orientation val="minMax"/>
        </c:scaling>
        <c:delete val="0"/>
        <c:axPos val="l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0570624"/>
        <c:crosses val="autoZero"/>
        <c:auto val="1"/>
        <c:lblAlgn val="ctr"/>
        <c:lblOffset val="100"/>
        <c:noMultiLvlLbl val="0"/>
      </c:catAx>
    </c:plotArea>
    <c:legend>
      <c:legendPos val="b"/>
      <c:layout>
        <c:manualLayout>
          <c:xMode val="edge"/>
          <c:yMode val="edge"/>
          <c:x val="3.3152733164672092E-2"/>
          <c:y val="0.90513208372248988"/>
          <c:w val="0.94628038610094201"/>
          <c:h val="8.8053887825150487E-2"/>
        </c:manualLayout>
      </c:layout>
      <c:overlay val="0"/>
      <c:txPr>
        <a:bodyPr/>
        <a:lstStyle/>
        <a:p>
          <a:pPr>
            <a:defRPr sz="7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>
          <a:latin typeface="Verdana" pitchFamily="34" charset="0"/>
          <a:ea typeface="Verdana" pitchFamily="34" charset="0"/>
          <a:cs typeface="Verdana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Waterfall!$P$3</c:f>
          <c:strCache>
            <c:ptCount val="1"/>
            <c:pt idx="0">
              <c:v>Account Balancing for July 2017</c:v>
            </c:pt>
          </c:strCache>
        </c:strRef>
      </c:tx>
      <c:layout/>
      <c:overlay val="0"/>
      <c:txPr>
        <a:bodyPr/>
        <a:lstStyle/>
        <a:p>
          <a:pPr>
            <a:defRPr sz="1200" b="1"/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Waterfall!$D$1</c:f>
              <c:strCache>
                <c:ptCount val="1"/>
                <c:pt idx="0">
                  <c:v>(Bar Start)</c:v>
                </c:pt>
              </c:strCache>
            </c:strRef>
          </c:tx>
          <c:spPr>
            <a:noFill/>
          </c:spPr>
          <c:invertIfNegative val="0"/>
          <c:cat>
            <c:strRef>
              <c:f>Waterfall!$B$2:$B$11</c:f>
              <c:strCache>
                <c:ptCount val="10"/>
                <c:pt idx="0">
                  <c:v>Funds In</c:v>
                </c:pt>
                <c:pt idx="1">
                  <c:v>Travel</c:v>
                </c:pt>
                <c:pt idx="2">
                  <c:v>Work Lunch</c:v>
                </c:pt>
                <c:pt idx="3">
                  <c:v>One-off</c:v>
                </c:pt>
                <c:pt idx="4">
                  <c:v>Food &amp; Drink</c:v>
                </c:pt>
                <c:pt idx="5">
                  <c:v>Miscellaneous </c:v>
                </c:pt>
                <c:pt idx="6">
                  <c:v>Cash Withdrawal</c:v>
                </c:pt>
                <c:pt idx="7">
                  <c:v>Holiday</c:v>
                </c:pt>
                <c:pt idx="8">
                  <c:v>Unknown</c:v>
                </c:pt>
                <c:pt idx="9">
                  <c:v>Saved</c:v>
                </c:pt>
              </c:strCache>
            </c:strRef>
          </c:cat>
          <c:val>
            <c:numRef>
              <c:f>Waterfall!$D$2:$D$11</c:f>
              <c:numCache>
                <c:formatCode>0</c:formatCode>
                <c:ptCount val="10"/>
                <c:pt idx="0" formatCode="General">
                  <c:v>0</c:v>
                </c:pt>
                <c:pt idx="1">
                  <c:v>105784.47</c:v>
                </c:pt>
                <c:pt idx="2">
                  <c:v>103904.47</c:v>
                </c:pt>
                <c:pt idx="3">
                  <c:v>103904.47</c:v>
                </c:pt>
                <c:pt idx="4">
                  <c:v>83009.47</c:v>
                </c:pt>
                <c:pt idx="5">
                  <c:v>75866.47</c:v>
                </c:pt>
                <c:pt idx="6">
                  <c:v>45666.47</c:v>
                </c:pt>
                <c:pt idx="7">
                  <c:v>45666.47</c:v>
                </c:pt>
                <c:pt idx="8">
                  <c:v>45666.47</c:v>
                </c:pt>
                <c:pt idx="9" formatCode="General">
                  <c:v>0</c:v>
                </c:pt>
              </c:numCache>
            </c:numRef>
          </c:val>
        </c:ser>
        <c:ser>
          <c:idx val="0"/>
          <c:order val="1"/>
          <c:tx>
            <c:strRef>
              <c:f>Waterfall!$C$1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</c:spPr>
          </c:dPt>
          <c:cat>
            <c:strRef>
              <c:f>Waterfall!$B$2:$B$11</c:f>
              <c:strCache>
                <c:ptCount val="10"/>
                <c:pt idx="0">
                  <c:v>Funds In</c:v>
                </c:pt>
                <c:pt idx="1">
                  <c:v>Travel</c:v>
                </c:pt>
                <c:pt idx="2">
                  <c:v>Work Lunch</c:v>
                </c:pt>
                <c:pt idx="3">
                  <c:v>One-off</c:v>
                </c:pt>
                <c:pt idx="4">
                  <c:v>Food &amp; Drink</c:v>
                </c:pt>
                <c:pt idx="5">
                  <c:v>Miscellaneous </c:v>
                </c:pt>
                <c:pt idx="6">
                  <c:v>Cash Withdrawal</c:v>
                </c:pt>
                <c:pt idx="7">
                  <c:v>Holiday</c:v>
                </c:pt>
                <c:pt idx="8">
                  <c:v>Unknown</c:v>
                </c:pt>
                <c:pt idx="9">
                  <c:v>Saved</c:v>
                </c:pt>
              </c:strCache>
            </c:strRef>
          </c:cat>
          <c:val>
            <c:numRef>
              <c:f>Waterfall!$C$2:$C$11</c:f>
              <c:numCache>
                <c:formatCode>0</c:formatCode>
                <c:ptCount val="10"/>
                <c:pt idx="0">
                  <c:v>112305</c:v>
                </c:pt>
                <c:pt idx="1">
                  <c:v>6520.53</c:v>
                </c:pt>
                <c:pt idx="2">
                  <c:v>1880</c:v>
                </c:pt>
                <c:pt idx="3">
                  <c:v>0</c:v>
                </c:pt>
                <c:pt idx="4">
                  <c:v>20895</c:v>
                </c:pt>
                <c:pt idx="5">
                  <c:v>7143</c:v>
                </c:pt>
                <c:pt idx="6">
                  <c:v>30200</c:v>
                </c:pt>
                <c:pt idx="7">
                  <c:v>0</c:v>
                </c:pt>
                <c:pt idx="8">
                  <c:v>0</c:v>
                </c:pt>
                <c:pt idx="9">
                  <c:v>45666.47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266176"/>
        <c:axId val="83284352"/>
      </c:barChart>
      <c:lineChart>
        <c:grouping val="standard"/>
        <c:varyColors val="0"/>
        <c:ser>
          <c:idx val="3"/>
          <c:order val="2"/>
          <c:tx>
            <c:strRef>
              <c:f>Waterfall!$F$1</c:f>
              <c:strCache>
                <c:ptCount val="1"/>
                <c:pt idx="0">
                  <c:v>Step1</c:v>
                </c:pt>
              </c:strCache>
            </c:strRef>
          </c:tx>
          <c:spPr>
            <a:ln>
              <a:solidFill>
                <a:schemeClr val="bg1">
                  <a:lumMod val="50000"/>
                </a:schemeClr>
              </a:solidFill>
              <a:prstDash val="dash"/>
            </a:ln>
          </c:spPr>
          <c:marker>
            <c:symbol val="none"/>
          </c:marker>
          <c:cat>
            <c:strRef>
              <c:f>Waterfall!$B$2:$B$11</c:f>
              <c:strCache>
                <c:ptCount val="10"/>
                <c:pt idx="0">
                  <c:v>Funds In</c:v>
                </c:pt>
                <c:pt idx="1">
                  <c:v>Travel</c:v>
                </c:pt>
                <c:pt idx="2">
                  <c:v>Work Lunch</c:v>
                </c:pt>
                <c:pt idx="3">
                  <c:v>One-off</c:v>
                </c:pt>
                <c:pt idx="4">
                  <c:v>Food &amp; Drink</c:v>
                </c:pt>
                <c:pt idx="5">
                  <c:v>Miscellaneous </c:v>
                </c:pt>
                <c:pt idx="6">
                  <c:v>Cash Withdrawal</c:v>
                </c:pt>
                <c:pt idx="7">
                  <c:v>Holiday</c:v>
                </c:pt>
                <c:pt idx="8">
                  <c:v>Unknown</c:v>
                </c:pt>
                <c:pt idx="9">
                  <c:v>Saved</c:v>
                </c:pt>
              </c:strCache>
            </c:strRef>
          </c:cat>
          <c:val>
            <c:numRef>
              <c:f>Waterfall!$F$2:$F$11</c:f>
              <c:numCache>
                <c:formatCode>0</c:formatCode>
                <c:ptCount val="10"/>
                <c:pt idx="0">
                  <c:v>112305</c:v>
                </c:pt>
                <c:pt idx="1">
                  <c:v>112305</c:v>
                </c:pt>
              </c:numCache>
            </c:numRef>
          </c:val>
          <c:smooth val="0"/>
        </c:ser>
        <c:ser>
          <c:idx val="1"/>
          <c:order val="3"/>
          <c:tx>
            <c:strRef>
              <c:f>Waterfall!$G$1</c:f>
              <c:strCache>
                <c:ptCount val="1"/>
                <c:pt idx="0">
                  <c:v>Step2</c:v>
                </c:pt>
              </c:strCache>
            </c:strRef>
          </c:tx>
          <c:marker>
            <c:symbol val="none"/>
          </c:marker>
          <c:dPt>
            <c:idx val="2"/>
            <c:bubble3D val="0"/>
            <c:spPr>
              <a:ln>
                <a:solidFill>
                  <a:schemeClr val="bg1">
                    <a:lumMod val="50000"/>
                  </a:schemeClr>
                </a:solidFill>
                <a:prstDash val="dash"/>
              </a:ln>
            </c:spPr>
          </c:dPt>
          <c:cat>
            <c:strRef>
              <c:f>Waterfall!$B$2:$B$11</c:f>
              <c:strCache>
                <c:ptCount val="10"/>
                <c:pt idx="0">
                  <c:v>Funds In</c:v>
                </c:pt>
                <c:pt idx="1">
                  <c:v>Travel</c:v>
                </c:pt>
                <c:pt idx="2">
                  <c:v>Work Lunch</c:v>
                </c:pt>
                <c:pt idx="3">
                  <c:v>One-off</c:v>
                </c:pt>
                <c:pt idx="4">
                  <c:v>Food &amp; Drink</c:v>
                </c:pt>
                <c:pt idx="5">
                  <c:v>Miscellaneous </c:v>
                </c:pt>
                <c:pt idx="6">
                  <c:v>Cash Withdrawal</c:v>
                </c:pt>
                <c:pt idx="7">
                  <c:v>Holiday</c:v>
                </c:pt>
                <c:pt idx="8">
                  <c:v>Unknown</c:v>
                </c:pt>
                <c:pt idx="9">
                  <c:v>Saved</c:v>
                </c:pt>
              </c:strCache>
            </c:strRef>
          </c:cat>
          <c:val>
            <c:numRef>
              <c:f>Waterfall!$G$2:$G$11</c:f>
              <c:numCache>
                <c:formatCode>0</c:formatCode>
                <c:ptCount val="10"/>
                <c:pt idx="1">
                  <c:v>105784.47</c:v>
                </c:pt>
                <c:pt idx="2">
                  <c:v>105784.47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Waterfall!$H$1</c:f>
              <c:strCache>
                <c:ptCount val="1"/>
                <c:pt idx="0">
                  <c:v>Step3</c:v>
                </c:pt>
              </c:strCache>
            </c:strRef>
          </c:tx>
          <c:spPr>
            <a:ln>
              <a:solidFill>
                <a:schemeClr val="bg1">
                  <a:lumMod val="50000"/>
                </a:schemeClr>
              </a:solidFill>
              <a:prstDash val="dash"/>
            </a:ln>
          </c:spPr>
          <c:marker>
            <c:symbol val="none"/>
          </c:marker>
          <c:val>
            <c:numRef>
              <c:f>Waterfall!$H$2:$H$11</c:f>
              <c:numCache>
                <c:formatCode>0</c:formatCode>
                <c:ptCount val="10"/>
                <c:pt idx="2">
                  <c:v>103904.47</c:v>
                </c:pt>
                <c:pt idx="3">
                  <c:v>103904.47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Waterfall!$I$1</c:f>
              <c:strCache>
                <c:ptCount val="1"/>
                <c:pt idx="0">
                  <c:v>Step4</c:v>
                </c:pt>
              </c:strCache>
            </c:strRef>
          </c:tx>
          <c:spPr>
            <a:ln>
              <a:solidFill>
                <a:schemeClr val="bg1">
                  <a:lumMod val="50000"/>
                </a:schemeClr>
              </a:solidFill>
              <a:prstDash val="dash"/>
            </a:ln>
          </c:spPr>
          <c:marker>
            <c:symbol val="none"/>
          </c:marker>
          <c:val>
            <c:numRef>
              <c:f>Waterfall!$I$2:$I$11</c:f>
              <c:numCache>
                <c:formatCode>0</c:formatCode>
                <c:ptCount val="10"/>
                <c:pt idx="3">
                  <c:v>103904.47</c:v>
                </c:pt>
                <c:pt idx="4">
                  <c:v>103904.47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Waterfall!$J$1</c:f>
              <c:strCache>
                <c:ptCount val="1"/>
                <c:pt idx="0">
                  <c:v>Step5</c:v>
                </c:pt>
              </c:strCache>
            </c:strRef>
          </c:tx>
          <c:spPr>
            <a:ln>
              <a:solidFill>
                <a:schemeClr val="bg1">
                  <a:lumMod val="50000"/>
                </a:schemeClr>
              </a:solidFill>
              <a:prstDash val="dash"/>
            </a:ln>
          </c:spPr>
          <c:marker>
            <c:symbol val="none"/>
          </c:marker>
          <c:val>
            <c:numRef>
              <c:f>Waterfall!$J$2:$J$11</c:f>
              <c:numCache>
                <c:formatCode>0</c:formatCode>
                <c:ptCount val="10"/>
                <c:pt idx="4">
                  <c:v>83009.47</c:v>
                </c:pt>
                <c:pt idx="5">
                  <c:v>83009.47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Waterfall!$K$1</c:f>
              <c:strCache>
                <c:ptCount val="1"/>
                <c:pt idx="0">
                  <c:v>Step7</c:v>
                </c:pt>
              </c:strCache>
            </c:strRef>
          </c:tx>
          <c:spPr>
            <a:ln>
              <a:solidFill>
                <a:schemeClr val="bg1">
                  <a:lumMod val="50000"/>
                </a:schemeClr>
              </a:solidFill>
              <a:prstDash val="dash"/>
            </a:ln>
          </c:spPr>
          <c:marker>
            <c:symbol val="none"/>
          </c:marker>
          <c:val>
            <c:numRef>
              <c:f>Waterfall!$K$2:$K$11</c:f>
              <c:numCache>
                <c:formatCode>0</c:formatCode>
                <c:ptCount val="10"/>
                <c:pt idx="5">
                  <c:v>75866.47</c:v>
                </c:pt>
                <c:pt idx="6">
                  <c:v>75866.47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Waterfall!$L$1</c:f>
              <c:strCache>
                <c:ptCount val="1"/>
                <c:pt idx="0">
                  <c:v>Step8</c:v>
                </c:pt>
              </c:strCache>
            </c:strRef>
          </c:tx>
          <c:spPr>
            <a:ln>
              <a:solidFill>
                <a:schemeClr val="bg1">
                  <a:lumMod val="50000"/>
                </a:schemeClr>
              </a:solidFill>
              <a:prstDash val="dash"/>
            </a:ln>
          </c:spPr>
          <c:marker>
            <c:symbol val="none"/>
          </c:marker>
          <c:val>
            <c:numRef>
              <c:f>Waterfall!$L$2:$L$11</c:f>
              <c:numCache>
                <c:formatCode>0</c:formatCode>
                <c:ptCount val="10"/>
                <c:pt idx="6">
                  <c:v>45666.47</c:v>
                </c:pt>
                <c:pt idx="7">
                  <c:v>45666.47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Waterfall!$M$1</c:f>
              <c:strCache>
                <c:ptCount val="1"/>
                <c:pt idx="0">
                  <c:v>Step9</c:v>
                </c:pt>
              </c:strCache>
            </c:strRef>
          </c:tx>
          <c:spPr>
            <a:ln>
              <a:solidFill>
                <a:schemeClr val="bg1">
                  <a:lumMod val="50000"/>
                </a:schemeClr>
              </a:solidFill>
              <a:prstDash val="dash"/>
            </a:ln>
          </c:spPr>
          <c:marker>
            <c:symbol val="none"/>
          </c:marker>
          <c:val>
            <c:numRef>
              <c:f>Waterfall!$M$2:$M$11</c:f>
              <c:numCache>
                <c:formatCode>0</c:formatCode>
                <c:ptCount val="10"/>
                <c:pt idx="7">
                  <c:v>45666.47</c:v>
                </c:pt>
                <c:pt idx="8">
                  <c:v>45666.47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Waterfall!$N$1</c:f>
              <c:strCache>
                <c:ptCount val="1"/>
                <c:pt idx="0">
                  <c:v>Step10</c:v>
                </c:pt>
              </c:strCache>
            </c:strRef>
          </c:tx>
          <c:spPr>
            <a:ln>
              <a:solidFill>
                <a:schemeClr val="bg1">
                  <a:lumMod val="50000"/>
                </a:schemeClr>
              </a:solidFill>
              <a:prstDash val="dash"/>
            </a:ln>
          </c:spPr>
          <c:marker>
            <c:symbol val="none"/>
          </c:marker>
          <c:val>
            <c:numRef>
              <c:f>Waterfall!$N$2:$N$11</c:f>
              <c:numCache>
                <c:formatCode>0</c:formatCode>
                <c:ptCount val="10"/>
                <c:pt idx="8">
                  <c:v>45666.47</c:v>
                </c:pt>
                <c:pt idx="9">
                  <c:v>45666.47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Waterfall!$E$1</c:f>
              <c:strCache>
                <c:ptCount val="1"/>
                <c:pt idx="0">
                  <c:v>Budget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val>
            <c:numRef>
              <c:f>Waterfall!$E$2:$E$11</c:f>
              <c:numCache>
                <c:formatCode>General</c:formatCode>
                <c:ptCount val="10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266176"/>
        <c:axId val="83284352"/>
      </c:lineChart>
      <c:catAx>
        <c:axId val="8326617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3284352"/>
        <c:crosses val="autoZero"/>
        <c:auto val="1"/>
        <c:lblAlgn val="ctr"/>
        <c:lblOffset val="100"/>
        <c:noMultiLvlLbl val="0"/>
      </c:catAx>
      <c:valAx>
        <c:axId val="83284352"/>
        <c:scaling>
          <c:orientation val="minMax"/>
          <c:min val="40000"/>
        </c:scaling>
        <c:delete val="0"/>
        <c:axPos val="l"/>
        <c:majorGridlines>
          <c:spPr>
            <a:ln>
              <a:solidFill>
                <a:schemeClr val="bg1">
                  <a:lumMod val="50000"/>
                </a:schemeClr>
              </a:solidFill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83266176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>
          <a:latin typeface="Verdana" pitchFamily="34" charset="0"/>
          <a:ea typeface="Verdana" pitchFamily="34" charset="0"/>
          <a:cs typeface="Verdana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Rolling!$A$2</c:f>
              <c:strCache>
                <c:ptCount val="1"/>
                <c:pt idx="0">
                  <c:v>Saved</c:v>
                </c:pt>
              </c:strCache>
            </c:strRef>
          </c:tx>
          <c:invertIfNegative val="0"/>
          <c:cat>
            <c:numRef>
              <c:f>Rolling!$B$1:$M$1</c:f>
              <c:numCache>
                <c:formatCode>mmm\-yy</c:formatCode>
                <c:ptCount val="12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>
                  <c:v>42979</c:v>
                </c:pt>
                <c:pt idx="9">
                  <c:v>43009</c:v>
                </c:pt>
                <c:pt idx="10">
                  <c:v>43040</c:v>
                </c:pt>
                <c:pt idx="11">
                  <c:v>43070</c:v>
                </c:pt>
              </c:numCache>
            </c:numRef>
          </c:cat>
          <c:val>
            <c:numRef>
              <c:f>Rolling!$B$2:$M$2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25451.200000000001</c:v>
                </c:pt>
                <c:pt idx="4">
                  <c:v>82416.63</c:v>
                </c:pt>
                <c:pt idx="5">
                  <c:v>-22323.52999999997</c:v>
                </c:pt>
                <c:pt idx="6">
                  <c:v>45666.47</c:v>
                </c:pt>
                <c:pt idx="7">
                  <c:v>-50236.479999999981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Rolling!$A$4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accent1"/>
              </a:solidFill>
            </a:ln>
          </c:spPr>
          <c:invertIfNegative val="0"/>
          <c:cat>
            <c:numRef>
              <c:f>Rolling!$B$1:$M$1</c:f>
              <c:numCache>
                <c:formatCode>mmm\-yy</c:formatCode>
                <c:ptCount val="12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>
                  <c:v>42979</c:v>
                </c:pt>
                <c:pt idx="9">
                  <c:v>43009</c:v>
                </c:pt>
                <c:pt idx="10">
                  <c:v>43040</c:v>
                </c:pt>
                <c:pt idx="11">
                  <c:v>43070</c:v>
                </c:pt>
              </c:numCache>
            </c:numRef>
          </c:cat>
          <c:val>
            <c:numRef>
              <c:f>Rolling!$B$4:$M$4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3025280"/>
        <c:axId val="83297792"/>
      </c:barChart>
      <c:lineChart>
        <c:grouping val="standard"/>
        <c:varyColors val="0"/>
        <c:ser>
          <c:idx val="2"/>
          <c:order val="2"/>
          <c:tx>
            <c:strRef>
              <c:f>Rolling!$A$3</c:f>
              <c:strCache>
                <c:ptCount val="1"/>
                <c:pt idx="0">
                  <c:v>Rolling Saved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7"/>
            <c:spPr>
              <a:solidFill>
                <a:schemeClr val="accent1"/>
              </a:solidFill>
            </c:spPr>
          </c:marker>
          <c:val>
            <c:numRef>
              <c:f>Rolling!$B$3:$M$3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25451.200000000001</c:v>
                </c:pt>
                <c:pt idx="4">
                  <c:v>107867.83</c:v>
                </c:pt>
                <c:pt idx="5">
                  <c:v>85544.300000000032</c:v>
                </c:pt>
                <c:pt idx="6">
                  <c:v>131210.77000000002</c:v>
                </c:pt>
                <c:pt idx="7">
                  <c:v>80974.290000000037</c:v>
                </c:pt>
                <c:pt idx="8">
                  <c:v>80974.290000000037</c:v>
                </c:pt>
                <c:pt idx="9">
                  <c:v>80974.290000000037</c:v>
                </c:pt>
                <c:pt idx="10">
                  <c:v>80974.290000000037</c:v>
                </c:pt>
                <c:pt idx="11">
                  <c:v>80974.290000000037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Rolling!$A$5</c:f>
              <c:strCache>
                <c:ptCount val="1"/>
                <c:pt idx="0">
                  <c:v>Rolling Budget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circle"/>
            <c:size val="4"/>
            <c:spPr>
              <a:solidFill>
                <a:schemeClr val="accent3"/>
              </a:solidFill>
            </c:spPr>
          </c:marker>
          <c:val>
            <c:numRef>
              <c:f>Rolling!$B$5:$M$5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50000</c:v>
                </c:pt>
                <c:pt idx="5">
                  <c:v>100000</c:v>
                </c:pt>
                <c:pt idx="6">
                  <c:v>150000</c:v>
                </c:pt>
                <c:pt idx="7">
                  <c:v>200000</c:v>
                </c:pt>
                <c:pt idx="8">
                  <c:v>250000</c:v>
                </c:pt>
                <c:pt idx="9">
                  <c:v>250000</c:v>
                </c:pt>
                <c:pt idx="10">
                  <c:v>250000</c:v>
                </c:pt>
                <c:pt idx="11">
                  <c:v>250000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025280"/>
        <c:axId val="83297792"/>
      </c:lineChart>
      <c:dateAx>
        <c:axId val="8302528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83297792"/>
        <c:crosses val="autoZero"/>
        <c:auto val="1"/>
        <c:lblOffset val="100"/>
        <c:baseTimeUnit val="months"/>
      </c:dateAx>
      <c:valAx>
        <c:axId val="83297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3025280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2</xdr:row>
          <xdr:rowOff>152400</xdr:rowOff>
        </xdr:from>
        <xdr:to>
          <xdr:col>2</xdr:col>
          <xdr:colOff>200025</xdr:colOff>
          <xdr:row>4</xdr:row>
          <xdr:rowOff>38100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266701</xdr:colOff>
      <xdr:row>1</xdr:row>
      <xdr:rowOff>157162</xdr:rowOff>
    </xdr:from>
    <xdr:to>
      <xdr:col>12</xdr:col>
      <xdr:colOff>304800</xdr:colOff>
      <xdr:row>31</xdr:row>
      <xdr:rowOff>38100</xdr:rowOff>
    </xdr:to>
    <xdr:graphicFrame macro="">
      <xdr:nvGraphicFramePr>
        <xdr:cNvPr id="3" name="Slide1Breakdow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317768</xdr:colOff>
      <xdr:row>13</xdr:row>
      <xdr:rowOff>22414</xdr:rowOff>
    </xdr:from>
    <xdr:to>
      <xdr:col>18</xdr:col>
      <xdr:colOff>440231</xdr:colOff>
      <xdr:row>34</xdr:row>
      <xdr:rowOff>112059</xdr:rowOff>
    </xdr:to>
    <xdr:graphicFrame macro="">
      <xdr:nvGraphicFramePr>
        <xdr:cNvPr id="2" name="Slide2Waterfall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6</xdr:row>
      <xdr:rowOff>80961</xdr:rowOff>
    </xdr:from>
    <xdr:to>
      <xdr:col>11</xdr:col>
      <xdr:colOff>257175</xdr:colOff>
      <xdr:row>26</xdr:row>
      <xdr:rowOff>38100</xdr:rowOff>
    </xdr:to>
    <xdr:graphicFrame macro="">
      <xdr:nvGraphicFramePr>
        <xdr:cNvPr id="2" name="Slide3Rolling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28"/>
  <sheetViews>
    <sheetView workbookViewId="0">
      <selection activeCell="G13" sqref="G13"/>
    </sheetView>
  </sheetViews>
  <sheetFormatPr defaultRowHeight="12.75" x14ac:dyDescent="0.2"/>
  <cols>
    <col min="4" max="4" width="9.42578125" customWidth="1"/>
    <col min="5" max="5" width="9.85546875" customWidth="1"/>
  </cols>
  <sheetData>
    <row r="1" spans="1:12" ht="18" customHeight="1" x14ac:dyDescent="0.2">
      <c r="A1" s="2" t="s">
        <v>492</v>
      </c>
      <c r="B1" s="29">
        <v>42917</v>
      </c>
      <c r="D1" s="81" t="s">
        <v>511</v>
      </c>
      <c r="E1" s="81"/>
      <c r="F1" s="53"/>
      <c r="G1" s="53"/>
      <c r="H1" s="53"/>
    </row>
    <row r="2" spans="1:12" ht="18" customHeight="1" x14ac:dyDescent="0.2">
      <c r="D2" s="54"/>
      <c r="E2" s="77">
        <f>B1</f>
        <v>42917</v>
      </c>
      <c r="F2" s="78"/>
      <c r="G2" s="79" t="s">
        <v>494</v>
      </c>
      <c r="H2" s="80"/>
    </row>
    <row r="3" spans="1:12" ht="18" customHeight="1" x14ac:dyDescent="0.2">
      <c r="B3" s="39"/>
      <c r="C3" s="39"/>
      <c r="D3" s="53"/>
      <c r="E3" s="55" t="s">
        <v>504</v>
      </c>
      <c r="F3" s="55" t="s">
        <v>490</v>
      </c>
      <c r="G3" s="55" t="s">
        <v>504</v>
      </c>
      <c r="H3" s="55" t="s">
        <v>490</v>
      </c>
      <c r="I3" s="39"/>
      <c r="J3" s="39"/>
      <c r="K3" s="39"/>
      <c r="L3" s="39"/>
    </row>
    <row r="4" spans="1:12" ht="18" customHeight="1" x14ac:dyDescent="0.2">
      <c r="B4" s="39"/>
      <c r="C4" s="39"/>
      <c r="D4" s="56" t="s">
        <v>510</v>
      </c>
      <c r="E4" s="57">
        <f>HLOOKUP(E2,Monthly!$C$1:$O$13,12)</f>
        <v>45666.47</v>
      </c>
      <c r="F4" s="57">
        <f>HLOOKUP(E2,Monthly!$C$1:$O$13,13)</f>
        <v>50000</v>
      </c>
      <c r="G4" s="57">
        <f>HLOOKUP(G2,Monthly!$C$1:$O$13,12)</f>
        <v>80974.290000000037</v>
      </c>
      <c r="H4" s="57">
        <f>HLOOKUP(G2,Monthly!$C$1:$O$13,13)</f>
        <v>250000</v>
      </c>
      <c r="I4" s="39"/>
      <c r="J4" s="39"/>
      <c r="K4" s="39"/>
      <c r="L4" s="39"/>
    </row>
    <row r="5" spans="1:12" x14ac:dyDescent="0.2">
      <c r="B5" s="39"/>
      <c r="C5" s="39"/>
      <c r="D5" s="39"/>
      <c r="E5" s="39"/>
      <c r="F5" s="39"/>
      <c r="G5" s="39"/>
      <c r="H5" s="39"/>
      <c r="I5" s="39"/>
      <c r="J5" s="39"/>
      <c r="L5" s="39"/>
    </row>
    <row r="6" spans="1:12" x14ac:dyDescent="0.2">
      <c r="E6" s="39"/>
      <c r="F6" s="39"/>
      <c r="G6" s="39"/>
      <c r="H6" s="39"/>
    </row>
    <row r="7" spans="1:12" x14ac:dyDescent="0.2">
      <c r="I7" s="39"/>
    </row>
    <row r="8" spans="1:12" x14ac:dyDescent="0.2">
      <c r="J8" s="39"/>
    </row>
    <row r="9" spans="1:12" x14ac:dyDescent="0.2">
      <c r="H9" s="39"/>
    </row>
    <row r="11" spans="1:12" x14ac:dyDescent="0.2">
      <c r="B11" s="39"/>
      <c r="C11" s="39"/>
      <c r="D11" s="39"/>
      <c r="E11" s="39"/>
      <c r="F11" s="39"/>
    </row>
    <row r="12" spans="1:12" x14ac:dyDescent="0.2">
      <c r="B12" s="39"/>
      <c r="C12" s="39"/>
      <c r="D12" s="39"/>
      <c r="E12" s="39"/>
      <c r="F12" s="39"/>
    </row>
    <row r="13" spans="1:12" x14ac:dyDescent="0.2">
      <c r="B13" s="39"/>
      <c r="C13" s="39"/>
      <c r="D13" s="39"/>
      <c r="E13" s="39"/>
      <c r="F13" s="39"/>
    </row>
    <row r="14" spans="1:12" x14ac:dyDescent="0.2">
      <c r="B14" s="39"/>
      <c r="C14" s="39"/>
      <c r="D14" s="39"/>
      <c r="E14" s="39"/>
      <c r="F14" s="39"/>
    </row>
    <row r="15" spans="1:12" x14ac:dyDescent="0.2"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x14ac:dyDescent="0.2"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2:12" x14ac:dyDescent="0.2"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2:12" x14ac:dyDescent="0.2"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2:12" x14ac:dyDescent="0.2"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2:12" x14ac:dyDescent="0.2"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</row>
    <row r="21" spans="2:12" x14ac:dyDescent="0.2"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</row>
    <row r="22" spans="2:12" x14ac:dyDescent="0.2"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</row>
    <row r="23" spans="2:12" x14ac:dyDescent="0.2"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</row>
    <row r="24" spans="2:12" x14ac:dyDescent="0.2"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</row>
    <row r="25" spans="2:12" x14ac:dyDescent="0.2"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</row>
    <row r="26" spans="2:12" x14ac:dyDescent="0.2"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</row>
    <row r="27" spans="2:12" x14ac:dyDescent="0.2"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</row>
    <row r="28" spans="2:12" x14ac:dyDescent="0.2"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</row>
  </sheetData>
  <mergeCells count="3">
    <mergeCell ref="E2:F2"/>
    <mergeCell ref="G2:H2"/>
    <mergeCell ref="D1:E1"/>
  </mergeCells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_xludf.Initiate">
                <anchor moveWithCells="1" sizeWithCells="1">
                  <from>
                    <xdr:col>0</xdr:col>
                    <xdr:colOff>209550</xdr:colOff>
                    <xdr:row>2</xdr:row>
                    <xdr:rowOff>152400</xdr:rowOff>
                  </from>
                  <to>
                    <xdr:col>2</xdr:col>
                    <xdr:colOff>200025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Monthly!$C$1:$N$1</xm:f>
          </x14:formula1>
          <xm:sqref>B1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365"/>
  <sheetViews>
    <sheetView workbookViewId="0">
      <selection activeCell="A29" sqref="A29"/>
    </sheetView>
  </sheetViews>
  <sheetFormatPr defaultRowHeight="12.75" x14ac:dyDescent="0.2"/>
  <cols>
    <col min="1" max="1" width="10.140625" bestFit="1" customWidth="1"/>
  </cols>
  <sheetData>
    <row r="1" spans="1:1" x14ac:dyDescent="0.2">
      <c r="A1" s="23">
        <v>42736</v>
      </c>
    </row>
    <row r="2" spans="1:1" x14ac:dyDescent="0.2">
      <c r="A2" s="23">
        <v>42737</v>
      </c>
    </row>
    <row r="3" spans="1:1" x14ac:dyDescent="0.2">
      <c r="A3" s="23">
        <v>42738</v>
      </c>
    </row>
    <row r="4" spans="1:1" x14ac:dyDescent="0.2">
      <c r="A4" s="23">
        <v>42739</v>
      </c>
    </row>
    <row r="5" spans="1:1" x14ac:dyDescent="0.2">
      <c r="A5" s="23">
        <v>42740</v>
      </c>
    </row>
    <row r="6" spans="1:1" x14ac:dyDescent="0.2">
      <c r="A6" s="23">
        <v>42741</v>
      </c>
    </row>
    <row r="7" spans="1:1" x14ac:dyDescent="0.2">
      <c r="A7" s="23">
        <v>42742</v>
      </c>
    </row>
    <row r="8" spans="1:1" x14ac:dyDescent="0.2">
      <c r="A8" s="23">
        <v>42743</v>
      </c>
    </row>
    <row r="9" spans="1:1" x14ac:dyDescent="0.2">
      <c r="A9" s="23">
        <v>42744</v>
      </c>
    </row>
    <row r="10" spans="1:1" x14ac:dyDescent="0.2">
      <c r="A10" s="23">
        <v>42745</v>
      </c>
    </row>
    <row r="11" spans="1:1" x14ac:dyDescent="0.2">
      <c r="A11" s="23">
        <v>42746</v>
      </c>
    </row>
    <row r="12" spans="1:1" x14ac:dyDescent="0.2">
      <c r="A12" s="23">
        <v>42747</v>
      </c>
    </row>
    <row r="13" spans="1:1" x14ac:dyDescent="0.2">
      <c r="A13" s="23">
        <v>42748</v>
      </c>
    </row>
    <row r="14" spans="1:1" x14ac:dyDescent="0.2">
      <c r="A14" s="23">
        <v>42749</v>
      </c>
    </row>
    <row r="15" spans="1:1" x14ac:dyDescent="0.2">
      <c r="A15" s="23">
        <v>42750</v>
      </c>
    </row>
    <row r="16" spans="1:1" x14ac:dyDescent="0.2">
      <c r="A16" s="23">
        <v>42751</v>
      </c>
    </row>
    <row r="17" spans="1:1" x14ac:dyDescent="0.2">
      <c r="A17" s="23">
        <v>42752</v>
      </c>
    </row>
    <row r="18" spans="1:1" x14ac:dyDescent="0.2">
      <c r="A18" s="23">
        <v>42753</v>
      </c>
    </row>
    <row r="19" spans="1:1" x14ac:dyDescent="0.2">
      <c r="A19" s="23">
        <v>42754</v>
      </c>
    </row>
    <row r="20" spans="1:1" x14ac:dyDescent="0.2">
      <c r="A20" s="23">
        <v>42755</v>
      </c>
    </row>
    <row r="21" spans="1:1" x14ac:dyDescent="0.2">
      <c r="A21" s="23">
        <v>42756</v>
      </c>
    </row>
    <row r="22" spans="1:1" x14ac:dyDescent="0.2">
      <c r="A22" s="23">
        <v>42757</v>
      </c>
    </row>
    <row r="23" spans="1:1" x14ac:dyDescent="0.2">
      <c r="A23" s="23">
        <v>42758</v>
      </c>
    </row>
    <row r="24" spans="1:1" x14ac:dyDescent="0.2">
      <c r="A24" s="23">
        <v>42759</v>
      </c>
    </row>
    <row r="25" spans="1:1" x14ac:dyDescent="0.2">
      <c r="A25" s="23">
        <v>42760</v>
      </c>
    </row>
    <row r="26" spans="1:1" x14ac:dyDescent="0.2">
      <c r="A26" s="23">
        <v>42761</v>
      </c>
    </row>
    <row r="27" spans="1:1" x14ac:dyDescent="0.2">
      <c r="A27" s="23">
        <v>42762</v>
      </c>
    </row>
    <row r="28" spans="1:1" x14ac:dyDescent="0.2">
      <c r="A28" s="23">
        <v>42763</v>
      </c>
    </row>
    <row r="29" spans="1:1" x14ac:dyDescent="0.2">
      <c r="A29" s="23">
        <v>42764</v>
      </c>
    </row>
    <row r="30" spans="1:1" x14ac:dyDescent="0.2">
      <c r="A30" s="23">
        <v>42765</v>
      </c>
    </row>
    <row r="31" spans="1:1" x14ac:dyDescent="0.2">
      <c r="A31" s="23">
        <v>42766</v>
      </c>
    </row>
    <row r="32" spans="1:1" x14ac:dyDescent="0.2">
      <c r="A32" s="23">
        <v>42767</v>
      </c>
    </row>
    <row r="33" spans="1:1" x14ac:dyDescent="0.2">
      <c r="A33" s="23">
        <v>42768</v>
      </c>
    </row>
    <row r="34" spans="1:1" x14ac:dyDescent="0.2">
      <c r="A34" s="23">
        <v>42769</v>
      </c>
    </row>
    <row r="35" spans="1:1" x14ac:dyDescent="0.2">
      <c r="A35" s="23">
        <v>42770</v>
      </c>
    </row>
    <row r="36" spans="1:1" x14ac:dyDescent="0.2">
      <c r="A36" s="23">
        <v>42771</v>
      </c>
    </row>
    <row r="37" spans="1:1" x14ac:dyDescent="0.2">
      <c r="A37" s="23">
        <v>42772</v>
      </c>
    </row>
    <row r="38" spans="1:1" x14ac:dyDescent="0.2">
      <c r="A38" s="23">
        <v>42773</v>
      </c>
    </row>
    <row r="39" spans="1:1" x14ac:dyDescent="0.2">
      <c r="A39" s="23">
        <v>42774</v>
      </c>
    </row>
    <row r="40" spans="1:1" x14ac:dyDescent="0.2">
      <c r="A40" s="23">
        <v>42775</v>
      </c>
    </row>
    <row r="41" spans="1:1" x14ac:dyDescent="0.2">
      <c r="A41" s="23">
        <v>42776</v>
      </c>
    </row>
    <row r="42" spans="1:1" x14ac:dyDescent="0.2">
      <c r="A42" s="23">
        <v>42777</v>
      </c>
    </row>
    <row r="43" spans="1:1" x14ac:dyDescent="0.2">
      <c r="A43" s="23">
        <v>42778</v>
      </c>
    </row>
    <row r="44" spans="1:1" x14ac:dyDescent="0.2">
      <c r="A44" s="23">
        <v>42779</v>
      </c>
    </row>
    <row r="45" spans="1:1" x14ac:dyDescent="0.2">
      <c r="A45" s="23">
        <v>42780</v>
      </c>
    </row>
    <row r="46" spans="1:1" x14ac:dyDescent="0.2">
      <c r="A46" s="23">
        <v>42781</v>
      </c>
    </row>
    <row r="47" spans="1:1" x14ac:dyDescent="0.2">
      <c r="A47" s="23">
        <v>42782</v>
      </c>
    </row>
    <row r="48" spans="1:1" x14ac:dyDescent="0.2">
      <c r="A48" s="23">
        <v>42783</v>
      </c>
    </row>
    <row r="49" spans="1:1" x14ac:dyDescent="0.2">
      <c r="A49" s="23">
        <v>42784</v>
      </c>
    </row>
    <row r="50" spans="1:1" x14ac:dyDescent="0.2">
      <c r="A50" s="23">
        <v>42785</v>
      </c>
    </row>
    <row r="51" spans="1:1" x14ac:dyDescent="0.2">
      <c r="A51" s="23">
        <v>42786</v>
      </c>
    </row>
    <row r="52" spans="1:1" x14ac:dyDescent="0.2">
      <c r="A52" s="23">
        <v>42787</v>
      </c>
    </row>
    <row r="53" spans="1:1" x14ac:dyDescent="0.2">
      <c r="A53" s="23">
        <v>42788</v>
      </c>
    </row>
    <row r="54" spans="1:1" x14ac:dyDescent="0.2">
      <c r="A54" s="23">
        <v>42789</v>
      </c>
    </row>
    <row r="55" spans="1:1" x14ac:dyDescent="0.2">
      <c r="A55" s="23">
        <v>42790</v>
      </c>
    </row>
    <row r="56" spans="1:1" x14ac:dyDescent="0.2">
      <c r="A56" s="23">
        <v>42791</v>
      </c>
    </row>
    <row r="57" spans="1:1" x14ac:dyDescent="0.2">
      <c r="A57" s="23">
        <v>42792</v>
      </c>
    </row>
    <row r="58" spans="1:1" x14ac:dyDescent="0.2">
      <c r="A58" s="23">
        <v>42793</v>
      </c>
    </row>
    <row r="59" spans="1:1" x14ac:dyDescent="0.2">
      <c r="A59" s="23">
        <v>42794</v>
      </c>
    </row>
    <row r="60" spans="1:1" x14ac:dyDescent="0.2">
      <c r="A60" s="23">
        <v>42795</v>
      </c>
    </row>
    <row r="61" spans="1:1" x14ac:dyDescent="0.2">
      <c r="A61" s="23">
        <v>42796</v>
      </c>
    </row>
    <row r="62" spans="1:1" x14ac:dyDescent="0.2">
      <c r="A62" s="23">
        <v>42797</v>
      </c>
    </row>
    <row r="63" spans="1:1" x14ac:dyDescent="0.2">
      <c r="A63" s="23">
        <v>42798</v>
      </c>
    </row>
    <row r="64" spans="1:1" x14ac:dyDescent="0.2">
      <c r="A64" s="23">
        <v>42799</v>
      </c>
    </row>
    <row r="65" spans="1:1" x14ac:dyDescent="0.2">
      <c r="A65" s="23">
        <v>42800</v>
      </c>
    </row>
    <row r="66" spans="1:1" x14ac:dyDescent="0.2">
      <c r="A66" s="23">
        <v>42801</v>
      </c>
    </row>
    <row r="67" spans="1:1" x14ac:dyDescent="0.2">
      <c r="A67" s="23">
        <v>42802</v>
      </c>
    </row>
    <row r="68" spans="1:1" x14ac:dyDescent="0.2">
      <c r="A68" s="23">
        <v>42803</v>
      </c>
    </row>
    <row r="69" spans="1:1" x14ac:dyDescent="0.2">
      <c r="A69" s="23">
        <v>42804</v>
      </c>
    </row>
    <row r="70" spans="1:1" x14ac:dyDescent="0.2">
      <c r="A70" s="23">
        <v>42805</v>
      </c>
    </row>
    <row r="71" spans="1:1" x14ac:dyDescent="0.2">
      <c r="A71" s="23">
        <v>42806</v>
      </c>
    </row>
    <row r="72" spans="1:1" x14ac:dyDescent="0.2">
      <c r="A72" s="23">
        <v>42807</v>
      </c>
    </row>
    <row r="73" spans="1:1" x14ac:dyDescent="0.2">
      <c r="A73" s="23">
        <v>42808</v>
      </c>
    </row>
    <row r="74" spans="1:1" x14ac:dyDescent="0.2">
      <c r="A74" s="23">
        <v>42809</v>
      </c>
    </row>
    <row r="75" spans="1:1" x14ac:dyDescent="0.2">
      <c r="A75" s="23">
        <v>42810</v>
      </c>
    </row>
    <row r="76" spans="1:1" x14ac:dyDescent="0.2">
      <c r="A76" s="23">
        <v>42811</v>
      </c>
    </row>
    <row r="77" spans="1:1" x14ac:dyDescent="0.2">
      <c r="A77" s="23">
        <v>42812</v>
      </c>
    </row>
    <row r="78" spans="1:1" x14ac:dyDescent="0.2">
      <c r="A78" s="23">
        <v>42813</v>
      </c>
    </row>
    <row r="79" spans="1:1" x14ac:dyDescent="0.2">
      <c r="A79" s="23">
        <v>42814</v>
      </c>
    </row>
    <row r="80" spans="1:1" x14ac:dyDescent="0.2">
      <c r="A80" s="23">
        <v>42815</v>
      </c>
    </row>
    <row r="81" spans="1:1" x14ac:dyDescent="0.2">
      <c r="A81" s="23">
        <v>42816</v>
      </c>
    </row>
    <row r="82" spans="1:1" x14ac:dyDescent="0.2">
      <c r="A82" s="23">
        <v>42817</v>
      </c>
    </row>
    <row r="83" spans="1:1" x14ac:dyDescent="0.2">
      <c r="A83" s="23">
        <v>42818</v>
      </c>
    </row>
    <row r="84" spans="1:1" x14ac:dyDescent="0.2">
      <c r="A84" s="23">
        <v>42819</v>
      </c>
    </row>
    <row r="85" spans="1:1" x14ac:dyDescent="0.2">
      <c r="A85" s="23">
        <v>42820</v>
      </c>
    </row>
    <row r="86" spans="1:1" x14ac:dyDescent="0.2">
      <c r="A86" s="23">
        <v>42821</v>
      </c>
    </row>
    <row r="87" spans="1:1" x14ac:dyDescent="0.2">
      <c r="A87" s="23">
        <v>42822</v>
      </c>
    </row>
    <row r="88" spans="1:1" x14ac:dyDescent="0.2">
      <c r="A88" s="23">
        <v>42823</v>
      </c>
    </row>
    <row r="89" spans="1:1" x14ac:dyDescent="0.2">
      <c r="A89" s="23">
        <v>42824</v>
      </c>
    </row>
    <row r="90" spans="1:1" x14ac:dyDescent="0.2">
      <c r="A90" s="23">
        <v>42825</v>
      </c>
    </row>
    <row r="91" spans="1:1" x14ac:dyDescent="0.2">
      <c r="A91" s="23">
        <v>42826</v>
      </c>
    </row>
    <row r="92" spans="1:1" x14ac:dyDescent="0.2">
      <c r="A92" s="23">
        <v>42827</v>
      </c>
    </row>
    <row r="93" spans="1:1" x14ac:dyDescent="0.2">
      <c r="A93" s="23">
        <v>42828</v>
      </c>
    </row>
    <row r="94" spans="1:1" x14ac:dyDescent="0.2">
      <c r="A94" s="23">
        <v>42829</v>
      </c>
    </row>
    <row r="95" spans="1:1" x14ac:dyDescent="0.2">
      <c r="A95" s="23">
        <v>42830</v>
      </c>
    </row>
    <row r="96" spans="1:1" x14ac:dyDescent="0.2">
      <c r="A96" s="23">
        <v>42831</v>
      </c>
    </row>
    <row r="97" spans="1:1" x14ac:dyDescent="0.2">
      <c r="A97" s="23">
        <v>42832</v>
      </c>
    </row>
    <row r="98" spans="1:1" x14ac:dyDescent="0.2">
      <c r="A98" s="23">
        <v>42833</v>
      </c>
    </row>
    <row r="99" spans="1:1" x14ac:dyDescent="0.2">
      <c r="A99" s="23">
        <v>42834</v>
      </c>
    </row>
    <row r="100" spans="1:1" x14ac:dyDescent="0.2">
      <c r="A100" s="23">
        <v>42835</v>
      </c>
    </row>
    <row r="101" spans="1:1" x14ac:dyDescent="0.2">
      <c r="A101" s="23">
        <v>42836</v>
      </c>
    </row>
    <row r="102" spans="1:1" x14ac:dyDescent="0.2">
      <c r="A102" s="23">
        <v>42837</v>
      </c>
    </row>
    <row r="103" spans="1:1" x14ac:dyDescent="0.2">
      <c r="A103" s="23">
        <v>42838</v>
      </c>
    </row>
    <row r="104" spans="1:1" x14ac:dyDescent="0.2">
      <c r="A104" s="23">
        <v>42839</v>
      </c>
    </row>
    <row r="105" spans="1:1" x14ac:dyDescent="0.2">
      <c r="A105" s="23">
        <v>42840</v>
      </c>
    </row>
    <row r="106" spans="1:1" x14ac:dyDescent="0.2">
      <c r="A106" s="23">
        <v>42841</v>
      </c>
    </row>
    <row r="107" spans="1:1" x14ac:dyDescent="0.2">
      <c r="A107" s="23">
        <v>42842</v>
      </c>
    </row>
    <row r="108" spans="1:1" x14ac:dyDescent="0.2">
      <c r="A108" s="23">
        <v>42843</v>
      </c>
    </row>
    <row r="109" spans="1:1" x14ac:dyDescent="0.2">
      <c r="A109" s="23">
        <v>42844</v>
      </c>
    </row>
    <row r="110" spans="1:1" x14ac:dyDescent="0.2">
      <c r="A110" s="23">
        <v>42845</v>
      </c>
    </row>
    <row r="111" spans="1:1" x14ac:dyDescent="0.2">
      <c r="A111" s="23">
        <v>42846</v>
      </c>
    </row>
    <row r="112" spans="1:1" x14ac:dyDescent="0.2">
      <c r="A112" s="23">
        <v>42847</v>
      </c>
    </row>
    <row r="113" spans="1:1" x14ac:dyDescent="0.2">
      <c r="A113" s="23">
        <v>42848</v>
      </c>
    </row>
    <row r="114" spans="1:1" x14ac:dyDescent="0.2">
      <c r="A114" s="23">
        <v>42849</v>
      </c>
    </row>
    <row r="115" spans="1:1" x14ac:dyDescent="0.2">
      <c r="A115" s="23">
        <v>42850</v>
      </c>
    </row>
    <row r="116" spans="1:1" x14ac:dyDescent="0.2">
      <c r="A116" s="23">
        <v>42851</v>
      </c>
    </row>
    <row r="117" spans="1:1" x14ac:dyDescent="0.2">
      <c r="A117" s="23">
        <v>42852</v>
      </c>
    </row>
    <row r="118" spans="1:1" x14ac:dyDescent="0.2">
      <c r="A118" s="23">
        <v>42853</v>
      </c>
    </row>
    <row r="119" spans="1:1" x14ac:dyDescent="0.2">
      <c r="A119" s="23">
        <v>42854</v>
      </c>
    </row>
    <row r="120" spans="1:1" x14ac:dyDescent="0.2">
      <c r="A120" s="23">
        <v>42855</v>
      </c>
    </row>
    <row r="121" spans="1:1" x14ac:dyDescent="0.2">
      <c r="A121" s="23">
        <v>42856</v>
      </c>
    </row>
    <row r="122" spans="1:1" x14ac:dyDescent="0.2">
      <c r="A122" s="23">
        <v>42857</v>
      </c>
    </row>
    <row r="123" spans="1:1" x14ac:dyDescent="0.2">
      <c r="A123" s="23">
        <v>42858</v>
      </c>
    </row>
    <row r="124" spans="1:1" x14ac:dyDescent="0.2">
      <c r="A124" s="23">
        <v>42859</v>
      </c>
    </row>
    <row r="125" spans="1:1" x14ac:dyDescent="0.2">
      <c r="A125" s="23">
        <v>42860</v>
      </c>
    </row>
    <row r="126" spans="1:1" x14ac:dyDescent="0.2">
      <c r="A126" s="23">
        <v>42861</v>
      </c>
    </row>
    <row r="127" spans="1:1" x14ac:dyDescent="0.2">
      <c r="A127" s="23">
        <v>42862</v>
      </c>
    </row>
    <row r="128" spans="1:1" x14ac:dyDescent="0.2">
      <c r="A128" s="23">
        <v>42863</v>
      </c>
    </row>
    <row r="129" spans="1:1" x14ac:dyDescent="0.2">
      <c r="A129" s="23">
        <v>42864</v>
      </c>
    </row>
    <row r="130" spans="1:1" x14ac:dyDescent="0.2">
      <c r="A130" s="23">
        <v>42865</v>
      </c>
    </row>
    <row r="131" spans="1:1" x14ac:dyDescent="0.2">
      <c r="A131" s="23">
        <v>42866</v>
      </c>
    </row>
    <row r="132" spans="1:1" x14ac:dyDescent="0.2">
      <c r="A132" s="23">
        <v>42867</v>
      </c>
    </row>
    <row r="133" spans="1:1" x14ac:dyDescent="0.2">
      <c r="A133" s="23">
        <v>42868</v>
      </c>
    </row>
    <row r="134" spans="1:1" x14ac:dyDescent="0.2">
      <c r="A134" s="23">
        <v>42869</v>
      </c>
    </row>
    <row r="135" spans="1:1" x14ac:dyDescent="0.2">
      <c r="A135" s="23">
        <v>42870</v>
      </c>
    </row>
    <row r="136" spans="1:1" x14ac:dyDescent="0.2">
      <c r="A136" s="23">
        <v>42871</v>
      </c>
    </row>
    <row r="137" spans="1:1" x14ac:dyDescent="0.2">
      <c r="A137" s="23">
        <v>42872</v>
      </c>
    </row>
    <row r="138" spans="1:1" x14ac:dyDescent="0.2">
      <c r="A138" s="23">
        <v>42873</v>
      </c>
    </row>
    <row r="139" spans="1:1" x14ac:dyDescent="0.2">
      <c r="A139" s="23">
        <v>42874</v>
      </c>
    </row>
    <row r="140" spans="1:1" x14ac:dyDescent="0.2">
      <c r="A140" s="23">
        <v>42875</v>
      </c>
    </row>
    <row r="141" spans="1:1" x14ac:dyDescent="0.2">
      <c r="A141" s="23">
        <v>42876</v>
      </c>
    </row>
    <row r="142" spans="1:1" x14ac:dyDescent="0.2">
      <c r="A142" s="23">
        <v>42877</v>
      </c>
    </row>
    <row r="143" spans="1:1" x14ac:dyDescent="0.2">
      <c r="A143" s="23">
        <v>42878</v>
      </c>
    </row>
    <row r="144" spans="1:1" x14ac:dyDescent="0.2">
      <c r="A144" s="23">
        <v>42879</v>
      </c>
    </row>
    <row r="145" spans="1:1" x14ac:dyDescent="0.2">
      <c r="A145" s="23">
        <v>42880</v>
      </c>
    </row>
    <row r="146" spans="1:1" x14ac:dyDescent="0.2">
      <c r="A146" s="23">
        <v>42881</v>
      </c>
    </row>
    <row r="147" spans="1:1" x14ac:dyDescent="0.2">
      <c r="A147" s="23">
        <v>42882</v>
      </c>
    </row>
    <row r="148" spans="1:1" x14ac:dyDescent="0.2">
      <c r="A148" s="23">
        <v>42883</v>
      </c>
    </row>
    <row r="149" spans="1:1" x14ac:dyDescent="0.2">
      <c r="A149" s="23">
        <v>42884</v>
      </c>
    </row>
    <row r="150" spans="1:1" x14ac:dyDescent="0.2">
      <c r="A150" s="23">
        <v>42885</v>
      </c>
    </row>
    <row r="151" spans="1:1" x14ac:dyDescent="0.2">
      <c r="A151" s="23">
        <v>42886</v>
      </c>
    </row>
    <row r="152" spans="1:1" x14ac:dyDescent="0.2">
      <c r="A152" s="23">
        <v>42887</v>
      </c>
    </row>
    <row r="153" spans="1:1" x14ac:dyDescent="0.2">
      <c r="A153" s="23">
        <v>42888</v>
      </c>
    </row>
    <row r="154" spans="1:1" x14ac:dyDescent="0.2">
      <c r="A154" s="23">
        <v>42889</v>
      </c>
    </row>
    <row r="155" spans="1:1" x14ac:dyDescent="0.2">
      <c r="A155" s="23">
        <v>42890</v>
      </c>
    </row>
    <row r="156" spans="1:1" x14ac:dyDescent="0.2">
      <c r="A156" s="23">
        <v>42891</v>
      </c>
    </row>
    <row r="157" spans="1:1" x14ac:dyDescent="0.2">
      <c r="A157" s="23">
        <v>42892</v>
      </c>
    </row>
    <row r="158" spans="1:1" x14ac:dyDescent="0.2">
      <c r="A158" s="23">
        <v>42893</v>
      </c>
    </row>
    <row r="159" spans="1:1" x14ac:dyDescent="0.2">
      <c r="A159" s="23">
        <v>42894</v>
      </c>
    </row>
    <row r="160" spans="1:1" x14ac:dyDescent="0.2">
      <c r="A160" s="23">
        <v>42895</v>
      </c>
    </row>
    <row r="161" spans="1:1" x14ac:dyDescent="0.2">
      <c r="A161" s="23">
        <v>42896</v>
      </c>
    </row>
    <row r="162" spans="1:1" x14ac:dyDescent="0.2">
      <c r="A162" s="23">
        <v>42897</v>
      </c>
    </row>
    <row r="163" spans="1:1" x14ac:dyDescent="0.2">
      <c r="A163" s="23">
        <v>42898</v>
      </c>
    </row>
    <row r="164" spans="1:1" x14ac:dyDescent="0.2">
      <c r="A164" s="23">
        <v>42899</v>
      </c>
    </row>
    <row r="165" spans="1:1" x14ac:dyDescent="0.2">
      <c r="A165" s="23">
        <v>42900</v>
      </c>
    </row>
    <row r="166" spans="1:1" x14ac:dyDescent="0.2">
      <c r="A166" s="23">
        <v>42901</v>
      </c>
    </row>
    <row r="167" spans="1:1" x14ac:dyDescent="0.2">
      <c r="A167" s="23">
        <v>42902</v>
      </c>
    </row>
    <row r="168" spans="1:1" x14ac:dyDescent="0.2">
      <c r="A168" s="23">
        <v>42903</v>
      </c>
    </row>
    <row r="169" spans="1:1" x14ac:dyDescent="0.2">
      <c r="A169" s="23">
        <v>42904</v>
      </c>
    </row>
    <row r="170" spans="1:1" x14ac:dyDescent="0.2">
      <c r="A170" s="23">
        <v>42905</v>
      </c>
    </row>
    <row r="171" spans="1:1" x14ac:dyDescent="0.2">
      <c r="A171" s="23">
        <v>42906</v>
      </c>
    </row>
    <row r="172" spans="1:1" x14ac:dyDescent="0.2">
      <c r="A172" s="23">
        <v>42907</v>
      </c>
    </row>
    <row r="173" spans="1:1" x14ac:dyDescent="0.2">
      <c r="A173" s="23">
        <v>42908</v>
      </c>
    </row>
    <row r="174" spans="1:1" x14ac:dyDescent="0.2">
      <c r="A174" s="23">
        <v>42909</v>
      </c>
    </row>
    <row r="175" spans="1:1" x14ac:dyDescent="0.2">
      <c r="A175" s="23">
        <v>42910</v>
      </c>
    </row>
    <row r="176" spans="1:1" x14ac:dyDescent="0.2">
      <c r="A176" s="23">
        <v>42911</v>
      </c>
    </row>
    <row r="177" spans="1:1" x14ac:dyDescent="0.2">
      <c r="A177" s="23">
        <v>42912</v>
      </c>
    </row>
    <row r="178" spans="1:1" x14ac:dyDescent="0.2">
      <c r="A178" s="23">
        <v>42913</v>
      </c>
    </row>
    <row r="179" spans="1:1" x14ac:dyDescent="0.2">
      <c r="A179" s="23">
        <v>42914</v>
      </c>
    </row>
    <row r="180" spans="1:1" x14ac:dyDescent="0.2">
      <c r="A180" s="23">
        <v>42915</v>
      </c>
    </row>
    <row r="181" spans="1:1" x14ac:dyDescent="0.2">
      <c r="A181" s="23">
        <v>42916</v>
      </c>
    </row>
    <row r="182" spans="1:1" x14ac:dyDescent="0.2">
      <c r="A182" s="23">
        <v>42917</v>
      </c>
    </row>
    <row r="183" spans="1:1" x14ac:dyDescent="0.2">
      <c r="A183" s="23">
        <v>42918</v>
      </c>
    </row>
    <row r="184" spans="1:1" x14ac:dyDescent="0.2">
      <c r="A184" s="23">
        <v>42919</v>
      </c>
    </row>
    <row r="185" spans="1:1" x14ac:dyDescent="0.2">
      <c r="A185" s="23">
        <v>42920</v>
      </c>
    </row>
    <row r="186" spans="1:1" x14ac:dyDescent="0.2">
      <c r="A186" s="23">
        <v>42921</v>
      </c>
    </row>
    <row r="187" spans="1:1" x14ac:dyDescent="0.2">
      <c r="A187" s="23">
        <v>42922</v>
      </c>
    </row>
    <row r="188" spans="1:1" x14ac:dyDescent="0.2">
      <c r="A188" s="23">
        <v>42923</v>
      </c>
    </row>
    <row r="189" spans="1:1" x14ac:dyDescent="0.2">
      <c r="A189" s="23">
        <v>42924</v>
      </c>
    </row>
    <row r="190" spans="1:1" x14ac:dyDescent="0.2">
      <c r="A190" s="23">
        <v>42925</v>
      </c>
    </row>
    <row r="191" spans="1:1" x14ac:dyDescent="0.2">
      <c r="A191" s="23">
        <v>42926</v>
      </c>
    </row>
    <row r="192" spans="1:1" x14ac:dyDescent="0.2">
      <c r="A192" s="23">
        <v>42927</v>
      </c>
    </row>
    <row r="193" spans="1:1" x14ac:dyDescent="0.2">
      <c r="A193" s="23">
        <v>42928</v>
      </c>
    </row>
    <row r="194" spans="1:1" x14ac:dyDescent="0.2">
      <c r="A194" s="23">
        <v>42929</v>
      </c>
    </row>
    <row r="195" spans="1:1" x14ac:dyDescent="0.2">
      <c r="A195" s="23">
        <v>42930</v>
      </c>
    </row>
    <row r="196" spans="1:1" x14ac:dyDescent="0.2">
      <c r="A196" s="23">
        <v>42931</v>
      </c>
    </row>
    <row r="197" spans="1:1" x14ac:dyDescent="0.2">
      <c r="A197" s="23">
        <v>42932</v>
      </c>
    </row>
    <row r="198" spans="1:1" x14ac:dyDescent="0.2">
      <c r="A198" s="23">
        <v>42933</v>
      </c>
    </row>
    <row r="199" spans="1:1" x14ac:dyDescent="0.2">
      <c r="A199" s="23">
        <v>42934</v>
      </c>
    </row>
    <row r="200" spans="1:1" x14ac:dyDescent="0.2">
      <c r="A200" s="23">
        <v>42935</v>
      </c>
    </row>
    <row r="201" spans="1:1" x14ac:dyDescent="0.2">
      <c r="A201" s="23">
        <v>42936</v>
      </c>
    </row>
    <row r="202" spans="1:1" x14ac:dyDescent="0.2">
      <c r="A202" s="23">
        <v>42937</v>
      </c>
    </row>
    <row r="203" spans="1:1" x14ac:dyDescent="0.2">
      <c r="A203" s="23">
        <v>42938</v>
      </c>
    </row>
    <row r="204" spans="1:1" x14ac:dyDescent="0.2">
      <c r="A204" s="23">
        <v>42939</v>
      </c>
    </row>
    <row r="205" spans="1:1" x14ac:dyDescent="0.2">
      <c r="A205" s="23">
        <v>42940</v>
      </c>
    </row>
    <row r="206" spans="1:1" x14ac:dyDescent="0.2">
      <c r="A206" s="23">
        <v>42941</v>
      </c>
    </row>
    <row r="207" spans="1:1" x14ac:dyDescent="0.2">
      <c r="A207" s="23">
        <v>42942</v>
      </c>
    </row>
    <row r="208" spans="1:1" x14ac:dyDescent="0.2">
      <c r="A208" s="23">
        <v>42943</v>
      </c>
    </row>
    <row r="209" spans="1:1" x14ac:dyDescent="0.2">
      <c r="A209" s="23">
        <v>42944</v>
      </c>
    </row>
    <row r="210" spans="1:1" x14ac:dyDescent="0.2">
      <c r="A210" s="23">
        <v>42945</v>
      </c>
    </row>
    <row r="211" spans="1:1" x14ac:dyDescent="0.2">
      <c r="A211" s="23">
        <v>42946</v>
      </c>
    </row>
    <row r="212" spans="1:1" x14ac:dyDescent="0.2">
      <c r="A212" s="23">
        <v>42947</v>
      </c>
    </row>
    <row r="213" spans="1:1" x14ac:dyDescent="0.2">
      <c r="A213" s="23">
        <v>42948</v>
      </c>
    </row>
    <row r="214" spans="1:1" x14ac:dyDescent="0.2">
      <c r="A214" s="23">
        <v>42949</v>
      </c>
    </row>
    <row r="215" spans="1:1" x14ac:dyDescent="0.2">
      <c r="A215" s="23">
        <v>42950</v>
      </c>
    </row>
    <row r="216" spans="1:1" x14ac:dyDescent="0.2">
      <c r="A216" s="23">
        <v>42951</v>
      </c>
    </row>
    <row r="217" spans="1:1" x14ac:dyDescent="0.2">
      <c r="A217" s="23">
        <v>42952</v>
      </c>
    </row>
    <row r="218" spans="1:1" x14ac:dyDescent="0.2">
      <c r="A218" s="23">
        <v>42953</v>
      </c>
    </row>
    <row r="219" spans="1:1" x14ac:dyDescent="0.2">
      <c r="A219" s="23">
        <v>42954</v>
      </c>
    </row>
    <row r="220" spans="1:1" x14ac:dyDescent="0.2">
      <c r="A220" s="23">
        <v>42955</v>
      </c>
    </row>
    <row r="221" spans="1:1" x14ac:dyDescent="0.2">
      <c r="A221" s="23">
        <v>42956</v>
      </c>
    </row>
    <row r="222" spans="1:1" x14ac:dyDescent="0.2">
      <c r="A222" s="23">
        <v>42957</v>
      </c>
    </row>
    <row r="223" spans="1:1" x14ac:dyDescent="0.2">
      <c r="A223" s="23">
        <v>42958</v>
      </c>
    </row>
    <row r="224" spans="1:1" x14ac:dyDescent="0.2">
      <c r="A224" s="23">
        <v>42959</v>
      </c>
    </row>
    <row r="225" spans="1:1" x14ac:dyDescent="0.2">
      <c r="A225" s="23">
        <v>42960</v>
      </c>
    </row>
    <row r="226" spans="1:1" x14ac:dyDescent="0.2">
      <c r="A226" s="23">
        <v>42961</v>
      </c>
    </row>
    <row r="227" spans="1:1" x14ac:dyDescent="0.2">
      <c r="A227" s="23">
        <v>42962</v>
      </c>
    </row>
    <row r="228" spans="1:1" x14ac:dyDescent="0.2">
      <c r="A228" s="23">
        <v>42963</v>
      </c>
    </row>
    <row r="229" spans="1:1" x14ac:dyDescent="0.2">
      <c r="A229" s="23">
        <v>42964</v>
      </c>
    </row>
    <row r="230" spans="1:1" x14ac:dyDescent="0.2">
      <c r="A230" s="23">
        <v>42965</v>
      </c>
    </row>
    <row r="231" spans="1:1" x14ac:dyDescent="0.2">
      <c r="A231" s="23">
        <v>42966</v>
      </c>
    </row>
    <row r="232" spans="1:1" x14ac:dyDescent="0.2">
      <c r="A232" s="23">
        <v>42967</v>
      </c>
    </row>
    <row r="233" spans="1:1" x14ac:dyDescent="0.2">
      <c r="A233" s="23">
        <v>42968</v>
      </c>
    </row>
    <row r="234" spans="1:1" x14ac:dyDescent="0.2">
      <c r="A234" s="23">
        <v>42969</v>
      </c>
    </row>
    <row r="235" spans="1:1" x14ac:dyDescent="0.2">
      <c r="A235" s="23">
        <v>42970</v>
      </c>
    </row>
    <row r="236" spans="1:1" x14ac:dyDescent="0.2">
      <c r="A236" s="23">
        <v>42971</v>
      </c>
    </row>
    <row r="237" spans="1:1" x14ac:dyDescent="0.2">
      <c r="A237" s="23">
        <v>42972</v>
      </c>
    </row>
    <row r="238" spans="1:1" x14ac:dyDescent="0.2">
      <c r="A238" s="23">
        <v>42973</v>
      </c>
    </row>
    <row r="239" spans="1:1" x14ac:dyDescent="0.2">
      <c r="A239" s="23">
        <v>42974</v>
      </c>
    </row>
    <row r="240" spans="1:1" x14ac:dyDescent="0.2">
      <c r="A240" s="23">
        <v>42975</v>
      </c>
    </row>
    <row r="241" spans="1:1" x14ac:dyDescent="0.2">
      <c r="A241" s="23">
        <v>42976</v>
      </c>
    </row>
    <row r="242" spans="1:1" x14ac:dyDescent="0.2">
      <c r="A242" s="23">
        <v>42977</v>
      </c>
    </row>
    <row r="243" spans="1:1" x14ac:dyDescent="0.2">
      <c r="A243" s="23">
        <v>42978</v>
      </c>
    </row>
    <row r="244" spans="1:1" x14ac:dyDescent="0.2">
      <c r="A244" s="23">
        <v>42979</v>
      </c>
    </row>
    <row r="245" spans="1:1" x14ac:dyDescent="0.2">
      <c r="A245" s="23">
        <v>42980</v>
      </c>
    </row>
    <row r="246" spans="1:1" x14ac:dyDescent="0.2">
      <c r="A246" s="23">
        <v>42981</v>
      </c>
    </row>
    <row r="247" spans="1:1" x14ac:dyDescent="0.2">
      <c r="A247" s="23">
        <v>42982</v>
      </c>
    </row>
    <row r="248" spans="1:1" x14ac:dyDescent="0.2">
      <c r="A248" s="23">
        <v>42983</v>
      </c>
    </row>
    <row r="249" spans="1:1" x14ac:dyDescent="0.2">
      <c r="A249" s="23">
        <v>42984</v>
      </c>
    </row>
    <row r="250" spans="1:1" x14ac:dyDescent="0.2">
      <c r="A250" s="23">
        <v>42985</v>
      </c>
    </row>
    <row r="251" spans="1:1" x14ac:dyDescent="0.2">
      <c r="A251" s="23">
        <v>42986</v>
      </c>
    </row>
    <row r="252" spans="1:1" x14ac:dyDescent="0.2">
      <c r="A252" s="23">
        <v>42987</v>
      </c>
    </row>
    <row r="253" spans="1:1" x14ac:dyDescent="0.2">
      <c r="A253" s="23">
        <v>42988</v>
      </c>
    </row>
    <row r="254" spans="1:1" x14ac:dyDescent="0.2">
      <c r="A254" s="23">
        <v>42989</v>
      </c>
    </row>
    <row r="255" spans="1:1" x14ac:dyDescent="0.2">
      <c r="A255" s="23">
        <v>42990</v>
      </c>
    </row>
    <row r="256" spans="1:1" x14ac:dyDescent="0.2">
      <c r="A256" s="23">
        <v>42991</v>
      </c>
    </row>
    <row r="257" spans="1:1" x14ac:dyDescent="0.2">
      <c r="A257" s="23">
        <v>42992</v>
      </c>
    </row>
    <row r="258" spans="1:1" x14ac:dyDescent="0.2">
      <c r="A258" s="23">
        <v>42993</v>
      </c>
    </row>
    <row r="259" spans="1:1" x14ac:dyDescent="0.2">
      <c r="A259" s="23">
        <v>42994</v>
      </c>
    </row>
    <row r="260" spans="1:1" x14ac:dyDescent="0.2">
      <c r="A260" s="23">
        <v>42995</v>
      </c>
    </row>
    <row r="261" spans="1:1" x14ac:dyDescent="0.2">
      <c r="A261" s="23">
        <v>42996</v>
      </c>
    </row>
    <row r="262" spans="1:1" x14ac:dyDescent="0.2">
      <c r="A262" s="23">
        <v>42997</v>
      </c>
    </row>
    <row r="263" spans="1:1" x14ac:dyDescent="0.2">
      <c r="A263" s="23">
        <v>42998</v>
      </c>
    </row>
    <row r="264" spans="1:1" x14ac:dyDescent="0.2">
      <c r="A264" s="23">
        <v>42999</v>
      </c>
    </row>
    <row r="265" spans="1:1" x14ac:dyDescent="0.2">
      <c r="A265" s="23">
        <v>43000</v>
      </c>
    </row>
    <row r="266" spans="1:1" x14ac:dyDescent="0.2">
      <c r="A266" s="23">
        <v>43001</v>
      </c>
    </row>
    <row r="267" spans="1:1" x14ac:dyDescent="0.2">
      <c r="A267" s="23">
        <v>43002</v>
      </c>
    </row>
    <row r="268" spans="1:1" x14ac:dyDescent="0.2">
      <c r="A268" s="23">
        <v>43003</v>
      </c>
    </row>
    <row r="269" spans="1:1" x14ac:dyDescent="0.2">
      <c r="A269" s="23">
        <v>43004</v>
      </c>
    </row>
    <row r="270" spans="1:1" x14ac:dyDescent="0.2">
      <c r="A270" s="23">
        <v>43005</v>
      </c>
    </row>
    <row r="271" spans="1:1" x14ac:dyDescent="0.2">
      <c r="A271" s="23">
        <v>43006</v>
      </c>
    </row>
    <row r="272" spans="1:1" x14ac:dyDescent="0.2">
      <c r="A272" s="23">
        <v>43007</v>
      </c>
    </row>
    <row r="273" spans="1:1" x14ac:dyDescent="0.2">
      <c r="A273" s="23">
        <v>43008</v>
      </c>
    </row>
    <row r="274" spans="1:1" x14ac:dyDescent="0.2">
      <c r="A274" s="23">
        <v>43009</v>
      </c>
    </row>
    <row r="275" spans="1:1" x14ac:dyDescent="0.2">
      <c r="A275" s="23">
        <v>43010</v>
      </c>
    </row>
    <row r="276" spans="1:1" x14ac:dyDescent="0.2">
      <c r="A276" s="23">
        <v>43011</v>
      </c>
    </row>
    <row r="277" spans="1:1" x14ac:dyDescent="0.2">
      <c r="A277" s="23">
        <v>43012</v>
      </c>
    </row>
    <row r="278" spans="1:1" x14ac:dyDescent="0.2">
      <c r="A278" s="23">
        <v>43013</v>
      </c>
    </row>
    <row r="279" spans="1:1" x14ac:dyDescent="0.2">
      <c r="A279" s="23">
        <v>43014</v>
      </c>
    </row>
    <row r="280" spans="1:1" x14ac:dyDescent="0.2">
      <c r="A280" s="23">
        <v>43015</v>
      </c>
    </row>
    <row r="281" spans="1:1" x14ac:dyDescent="0.2">
      <c r="A281" s="23">
        <v>43016</v>
      </c>
    </row>
    <row r="282" spans="1:1" x14ac:dyDescent="0.2">
      <c r="A282" s="23">
        <v>43017</v>
      </c>
    </row>
    <row r="283" spans="1:1" x14ac:dyDescent="0.2">
      <c r="A283" s="23">
        <v>43018</v>
      </c>
    </row>
    <row r="284" spans="1:1" x14ac:dyDescent="0.2">
      <c r="A284" s="23">
        <v>43019</v>
      </c>
    </row>
    <row r="285" spans="1:1" x14ac:dyDescent="0.2">
      <c r="A285" s="23">
        <v>43020</v>
      </c>
    </row>
    <row r="286" spans="1:1" x14ac:dyDescent="0.2">
      <c r="A286" s="23">
        <v>43021</v>
      </c>
    </row>
    <row r="287" spans="1:1" x14ac:dyDescent="0.2">
      <c r="A287" s="23">
        <v>43022</v>
      </c>
    </row>
    <row r="288" spans="1:1" x14ac:dyDescent="0.2">
      <c r="A288" s="23">
        <v>43023</v>
      </c>
    </row>
    <row r="289" spans="1:1" x14ac:dyDescent="0.2">
      <c r="A289" s="23">
        <v>43024</v>
      </c>
    </row>
    <row r="290" spans="1:1" x14ac:dyDescent="0.2">
      <c r="A290" s="23">
        <v>43025</v>
      </c>
    </row>
    <row r="291" spans="1:1" x14ac:dyDescent="0.2">
      <c r="A291" s="23">
        <v>43026</v>
      </c>
    </row>
    <row r="292" spans="1:1" x14ac:dyDescent="0.2">
      <c r="A292" s="23">
        <v>43027</v>
      </c>
    </row>
    <row r="293" spans="1:1" x14ac:dyDescent="0.2">
      <c r="A293" s="23">
        <v>43028</v>
      </c>
    </row>
    <row r="294" spans="1:1" x14ac:dyDescent="0.2">
      <c r="A294" s="23">
        <v>43029</v>
      </c>
    </row>
    <row r="295" spans="1:1" x14ac:dyDescent="0.2">
      <c r="A295" s="23">
        <v>43030</v>
      </c>
    </row>
    <row r="296" spans="1:1" x14ac:dyDescent="0.2">
      <c r="A296" s="23">
        <v>43031</v>
      </c>
    </row>
    <row r="297" spans="1:1" x14ac:dyDescent="0.2">
      <c r="A297" s="23">
        <v>43032</v>
      </c>
    </row>
    <row r="298" spans="1:1" x14ac:dyDescent="0.2">
      <c r="A298" s="23">
        <v>43033</v>
      </c>
    </row>
    <row r="299" spans="1:1" x14ac:dyDescent="0.2">
      <c r="A299" s="23">
        <v>43034</v>
      </c>
    </row>
    <row r="300" spans="1:1" x14ac:dyDescent="0.2">
      <c r="A300" s="23">
        <v>43035</v>
      </c>
    </row>
    <row r="301" spans="1:1" x14ac:dyDescent="0.2">
      <c r="A301" s="23">
        <v>43036</v>
      </c>
    </row>
    <row r="302" spans="1:1" x14ac:dyDescent="0.2">
      <c r="A302" s="23">
        <v>43037</v>
      </c>
    </row>
    <row r="303" spans="1:1" x14ac:dyDescent="0.2">
      <c r="A303" s="23">
        <v>43038</v>
      </c>
    </row>
    <row r="304" spans="1:1" x14ac:dyDescent="0.2">
      <c r="A304" s="23">
        <v>43039</v>
      </c>
    </row>
    <row r="305" spans="1:1" x14ac:dyDescent="0.2">
      <c r="A305" s="23">
        <v>43040</v>
      </c>
    </row>
    <row r="306" spans="1:1" x14ac:dyDescent="0.2">
      <c r="A306" s="23">
        <v>43041</v>
      </c>
    </row>
    <row r="307" spans="1:1" x14ac:dyDescent="0.2">
      <c r="A307" s="23">
        <v>43042</v>
      </c>
    </row>
    <row r="308" spans="1:1" x14ac:dyDescent="0.2">
      <c r="A308" s="23">
        <v>43043</v>
      </c>
    </row>
    <row r="309" spans="1:1" x14ac:dyDescent="0.2">
      <c r="A309" s="23">
        <v>43044</v>
      </c>
    </row>
    <row r="310" spans="1:1" x14ac:dyDescent="0.2">
      <c r="A310" s="23">
        <v>43045</v>
      </c>
    </row>
    <row r="311" spans="1:1" x14ac:dyDescent="0.2">
      <c r="A311" s="23">
        <v>43046</v>
      </c>
    </row>
    <row r="312" spans="1:1" x14ac:dyDescent="0.2">
      <c r="A312" s="23">
        <v>43047</v>
      </c>
    </row>
    <row r="313" spans="1:1" x14ac:dyDescent="0.2">
      <c r="A313" s="23">
        <v>43048</v>
      </c>
    </row>
    <row r="314" spans="1:1" x14ac:dyDescent="0.2">
      <c r="A314" s="23">
        <v>43049</v>
      </c>
    </row>
    <row r="315" spans="1:1" x14ac:dyDescent="0.2">
      <c r="A315" s="23">
        <v>43050</v>
      </c>
    </row>
    <row r="316" spans="1:1" x14ac:dyDescent="0.2">
      <c r="A316" s="23">
        <v>43051</v>
      </c>
    </row>
    <row r="317" spans="1:1" x14ac:dyDescent="0.2">
      <c r="A317" s="23">
        <v>43052</v>
      </c>
    </row>
    <row r="318" spans="1:1" x14ac:dyDescent="0.2">
      <c r="A318" s="23">
        <v>43053</v>
      </c>
    </row>
    <row r="319" spans="1:1" x14ac:dyDescent="0.2">
      <c r="A319" s="23">
        <v>43054</v>
      </c>
    </row>
    <row r="320" spans="1:1" x14ac:dyDescent="0.2">
      <c r="A320" s="23">
        <v>43055</v>
      </c>
    </row>
    <row r="321" spans="1:1" x14ac:dyDescent="0.2">
      <c r="A321" s="23">
        <v>43056</v>
      </c>
    </row>
    <row r="322" spans="1:1" x14ac:dyDescent="0.2">
      <c r="A322" s="23">
        <v>43057</v>
      </c>
    </row>
    <row r="323" spans="1:1" x14ac:dyDescent="0.2">
      <c r="A323" s="23">
        <v>43058</v>
      </c>
    </row>
    <row r="324" spans="1:1" x14ac:dyDescent="0.2">
      <c r="A324" s="23">
        <v>43059</v>
      </c>
    </row>
    <row r="325" spans="1:1" x14ac:dyDescent="0.2">
      <c r="A325" s="23">
        <v>43060</v>
      </c>
    </row>
    <row r="326" spans="1:1" x14ac:dyDescent="0.2">
      <c r="A326" s="23">
        <v>43061</v>
      </c>
    </row>
    <row r="327" spans="1:1" x14ac:dyDescent="0.2">
      <c r="A327" s="23">
        <v>43062</v>
      </c>
    </row>
    <row r="328" spans="1:1" x14ac:dyDescent="0.2">
      <c r="A328" s="23">
        <v>43063</v>
      </c>
    </row>
    <row r="329" spans="1:1" x14ac:dyDescent="0.2">
      <c r="A329" s="23">
        <v>43064</v>
      </c>
    </row>
    <row r="330" spans="1:1" x14ac:dyDescent="0.2">
      <c r="A330" s="23">
        <v>43065</v>
      </c>
    </row>
    <row r="331" spans="1:1" x14ac:dyDescent="0.2">
      <c r="A331" s="23">
        <v>43066</v>
      </c>
    </row>
    <row r="332" spans="1:1" x14ac:dyDescent="0.2">
      <c r="A332" s="23">
        <v>43067</v>
      </c>
    </row>
    <row r="333" spans="1:1" x14ac:dyDescent="0.2">
      <c r="A333" s="23">
        <v>43068</v>
      </c>
    </row>
    <row r="334" spans="1:1" x14ac:dyDescent="0.2">
      <c r="A334" s="23">
        <v>43069</v>
      </c>
    </row>
    <row r="335" spans="1:1" x14ac:dyDescent="0.2">
      <c r="A335" s="23">
        <v>43070</v>
      </c>
    </row>
    <row r="336" spans="1:1" x14ac:dyDescent="0.2">
      <c r="A336" s="23">
        <v>43071</v>
      </c>
    </row>
    <row r="337" spans="1:1" x14ac:dyDescent="0.2">
      <c r="A337" s="23">
        <v>43072</v>
      </c>
    </row>
    <row r="338" spans="1:1" x14ac:dyDescent="0.2">
      <c r="A338" s="23">
        <v>43073</v>
      </c>
    </row>
    <row r="339" spans="1:1" x14ac:dyDescent="0.2">
      <c r="A339" s="23">
        <v>43074</v>
      </c>
    </row>
    <row r="340" spans="1:1" x14ac:dyDescent="0.2">
      <c r="A340" s="23">
        <v>43075</v>
      </c>
    </row>
    <row r="341" spans="1:1" x14ac:dyDescent="0.2">
      <c r="A341" s="23">
        <v>43076</v>
      </c>
    </row>
    <row r="342" spans="1:1" x14ac:dyDescent="0.2">
      <c r="A342" s="23">
        <v>43077</v>
      </c>
    </row>
    <row r="343" spans="1:1" x14ac:dyDescent="0.2">
      <c r="A343" s="23">
        <v>43078</v>
      </c>
    </row>
    <row r="344" spans="1:1" x14ac:dyDescent="0.2">
      <c r="A344" s="23">
        <v>43079</v>
      </c>
    </row>
    <row r="345" spans="1:1" x14ac:dyDescent="0.2">
      <c r="A345" s="23">
        <v>43080</v>
      </c>
    </row>
    <row r="346" spans="1:1" x14ac:dyDescent="0.2">
      <c r="A346" s="23">
        <v>43081</v>
      </c>
    </row>
    <row r="347" spans="1:1" x14ac:dyDescent="0.2">
      <c r="A347" s="23">
        <v>43082</v>
      </c>
    </row>
    <row r="348" spans="1:1" x14ac:dyDescent="0.2">
      <c r="A348" s="23">
        <v>43083</v>
      </c>
    </row>
    <row r="349" spans="1:1" x14ac:dyDescent="0.2">
      <c r="A349" s="23">
        <v>43084</v>
      </c>
    </row>
    <row r="350" spans="1:1" x14ac:dyDescent="0.2">
      <c r="A350" s="23">
        <v>43085</v>
      </c>
    </row>
    <row r="351" spans="1:1" x14ac:dyDescent="0.2">
      <c r="A351" s="23">
        <v>43086</v>
      </c>
    </row>
    <row r="352" spans="1:1" x14ac:dyDescent="0.2">
      <c r="A352" s="23">
        <v>43087</v>
      </c>
    </row>
    <row r="353" spans="1:1" x14ac:dyDescent="0.2">
      <c r="A353" s="23">
        <v>43088</v>
      </c>
    </row>
    <row r="354" spans="1:1" x14ac:dyDescent="0.2">
      <c r="A354" s="23">
        <v>43089</v>
      </c>
    </row>
    <row r="355" spans="1:1" x14ac:dyDescent="0.2">
      <c r="A355" s="23">
        <v>43090</v>
      </c>
    </row>
    <row r="356" spans="1:1" x14ac:dyDescent="0.2">
      <c r="A356" s="23">
        <v>43091</v>
      </c>
    </row>
    <row r="357" spans="1:1" x14ac:dyDescent="0.2">
      <c r="A357" s="23">
        <v>43092</v>
      </c>
    </row>
    <row r="358" spans="1:1" x14ac:dyDescent="0.2">
      <c r="A358" s="23">
        <v>43093</v>
      </c>
    </row>
    <row r="359" spans="1:1" x14ac:dyDescent="0.2">
      <c r="A359" s="23">
        <v>43094</v>
      </c>
    </row>
    <row r="360" spans="1:1" x14ac:dyDescent="0.2">
      <c r="A360" s="23">
        <v>43095</v>
      </c>
    </row>
    <row r="361" spans="1:1" x14ac:dyDescent="0.2">
      <c r="A361" s="23">
        <v>43096</v>
      </c>
    </row>
    <row r="362" spans="1:1" x14ac:dyDescent="0.2">
      <c r="A362" s="23">
        <v>43097</v>
      </c>
    </row>
    <row r="363" spans="1:1" x14ac:dyDescent="0.2">
      <c r="A363" s="23">
        <v>43098</v>
      </c>
    </row>
    <row r="364" spans="1:1" x14ac:dyDescent="0.2">
      <c r="A364" s="23">
        <v>43099</v>
      </c>
    </row>
    <row r="365" spans="1:1" x14ac:dyDescent="0.2">
      <c r="A365" s="23">
        <v>43100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455"/>
  <sheetViews>
    <sheetView topLeftCell="A428" workbookViewId="0">
      <selection sqref="A1:G455"/>
    </sheetView>
  </sheetViews>
  <sheetFormatPr defaultRowHeight="12.75" x14ac:dyDescent="0.2"/>
  <cols>
    <col min="1" max="1" width="8.42578125" customWidth="1"/>
    <col min="2" max="2" width="45" customWidth="1"/>
    <col min="3" max="3" width="18.7109375" customWidth="1"/>
    <col min="4" max="4" width="8.42578125" customWidth="1"/>
    <col min="5" max="7" width="18.7109375" customWidth="1"/>
    <col min="8" max="256" width="11.42578125" customWidth="1"/>
    <col min="257" max="257" width="8.42578125" customWidth="1"/>
    <col min="258" max="258" width="45" customWidth="1"/>
    <col min="259" max="259" width="18.7109375" customWidth="1"/>
    <col min="260" max="260" width="8.42578125" customWidth="1"/>
    <col min="261" max="263" width="18.7109375" customWidth="1"/>
    <col min="264" max="512" width="11.42578125" customWidth="1"/>
    <col min="513" max="513" width="8.42578125" customWidth="1"/>
    <col min="514" max="514" width="45" customWidth="1"/>
    <col min="515" max="515" width="18.7109375" customWidth="1"/>
    <col min="516" max="516" width="8.42578125" customWidth="1"/>
    <col min="517" max="519" width="18.7109375" customWidth="1"/>
    <col min="520" max="768" width="11.42578125" customWidth="1"/>
    <col min="769" max="769" width="8.42578125" customWidth="1"/>
    <col min="770" max="770" width="45" customWidth="1"/>
    <col min="771" max="771" width="18.7109375" customWidth="1"/>
    <col min="772" max="772" width="8.42578125" customWidth="1"/>
    <col min="773" max="775" width="18.7109375" customWidth="1"/>
    <col min="776" max="1024" width="11.42578125" customWidth="1"/>
    <col min="1025" max="1025" width="8.42578125" customWidth="1"/>
    <col min="1026" max="1026" width="45" customWidth="1"/>
    <col min="1027" max="1027" width="18.7109375" customWidth="1"/>
    <col min="1028" max="1028" width="8.42578125" customWidth="1"/>
    <col min="1029" max="1031" width="18.7109375" customWidth="1"/>
    <col min="1032" max="1280" width="11.42578125" customWidth="1"/>
    <col min="1281" max="1281" width="8.42578125" customWidth="1"/>
    <col min="1282" max="1282" width="45" customWidth="1"/>
    <col min="1283" max="1283" width="18.7109375" customWidth="1"/>
    <col min="1284" max="1284" width="8.42578125" customWidth="1"/>
    <col min="1285" max="1287" width="18.7109375" customWidth="1"/>
    <col min="1288" max="1536" width="11.42578125" customWidth="1"/>
    <col min="1537" max="1537" width="8.42578125" customWidth="1"/>
    <col min="1538" max="1538" width="45" customWidth="1"/>
    <col min="1539" max="1539" width="18.7109375" customWidth="1"/>
    <col min="1540" max="1540" width="8.42578125" customWidth="1"/>
    <col min="1541" max="1543" width="18.7109375" customWidth="1"/>
    <col min="1544" max="1792" width="11.42578125" customWidth="1"/>
    <col min="1793" max="1793" width="8.42578125" customWidth="1"/>
    <col min="1794" max="1794" width="45" customWidth="1"/>
    <col min="1795" max="1795" width="18.7109375" customWidth="1"/>
    <col min="1796" max="1796" width="8.42578125" customWidth="1"/>
    <col min="1797" max="1799" width="18.7109375" customWidth="1"/>
    <col min="1800" max="2048" width="11.42578125" customWidth="1"/>
    <col min="2049" max="2049" width="8.42578125" customWidth="1"/>
    <col min="2050" max="2050" width="45" customWidth="1"/>
    <col min="2051" max="2051" width="18.7109375" customWidth="1"/>
    <col min="2052" max="2052" width="8.42578125" customWidth="1"/>
    <col min="2053" max="2055" width="18.7109375" customWidth="1"/>
    <col min="2056" max="2304" width="11.42578125" customWidth="1"/>
    <col min="2305" max="2305" width="8.42578125" customWidth="1"/>
    <col min="2306" max="2306" width="45" customWidth="1"/>
    <col min="2307" max="2307" width="18.7109375" customWidth="1"/>
    <col min="2308" max="2308" width="8.42578125" customWidth="1"/>
    <col min="2309" max="2311" width="18.7109375" customWidth="1"/>
    <col min="2312" max="2560" width="11.42578125" customWidth="1"/>
    <col min="2561" max="2561" width="8.42578125" customWidth="1"/>
    <col min="2562" max="2562" width="45" customWidth="1"/>
    <col min="2563" max="2563" width="18.7109375" customWidth="1"/>
    <col min="2564" max="2564" width="8.42578125" customWidth="1"/>
    <col min="2565" max="2567" width="18.7109375" customWidth="1"/>
    <col min="2568" max="2816" width="11.42578125" customWidth="1"/>
    <col min="2817" max="2817" width="8.42578125" customWidth="1"/>
    <col min="2818" max="2818" width="45" customWidth="1"/>
    <col min="2819" max="2819" width="18.7109375" customWidth="1"/>
    <col min="2820" max="2820" width="8.42578125" customWidth="1"/>
    <col min="2821" max="2823" width="18.7109375" customWidth="1"/>
    <col min="2824" max="3072" width="11.42578125" customWidth="1"/>
    <col min="3073" max="3073" width="8.42578125" customWidth="1"/>
    <col min="3074" max="3074" width="45" customWidth="1"/>
    <col min="3075" max="3075" width="18.7109375" customWidth="1"/>
    <col min="3076" max="3076" width="8.42578125" customWidth="1"/>
    <col min="3077" max="3079" width="18.7109375" customWidth="1"/>
    <col min="3080" max="3328" width="11.42578125" customWidth="1"/>
    <col min="3329" max="3329" width="8.42578125" customWidth="1"/>
    <col min="3330" max="3330" width="45" customWidth="1"/>
    <col min="3331" max="3331" width="18.7109375" customWidth="1"/>
    <col min="3332" max="3332" width="8.42578125" customWidth="1"/>
    <col min="3333" max="3335" width="18.7109375" customWidth="1"/>
    <col min="3336" max="3584" width="11.42578125" customWidth="1"/>
    <col min="3585" max="3585" width="8.42578125" customWidth="1"/>
    <col min="3586" max="3586" width="45" customWidth="1"/>
    <col min="3587" max="3587" width="18.7109375" customWidth="1"/>
    <col min="3588" max="3588" width="8.42578125" customWidth="1"/>
    <col min="3589" max="3591" width="18.7109375" customWidth="1"/>
    <col min="3592" max="3840" width="11.42578125" customWidth="1"/>
    <col min="3841" max="3841" width="8.42578125" customWidth="1"/>
    <col min="3842" max="3842" width="45" customWidth="1"/>
    <col min="3843" max="3843" width="18.7109375" customWidth="1"/>
    <col min="3844" max="3844" width="8.42578125" customWidth="1"/>
    <col min="3845" max="3847" width="18.7109375" customWidth="1"/>
    <col min="3848" max="4096" width="11.42578125" customWidth="1"/>
    <col min="4097" max="4097" width="8.42578125" customWidth="1"/>
    <col min="4098" max="4098" width="45" customWidth="1"/>
    <col min="4099" max="4099" width="18.7109375" customWidth="1"/>
    <col min="4100" max="4100" width="8.42578125" customWidth="1"/>
    <col min="4101" max="4103" width="18.7109375" customWidth="1"/>
    <col min="4104" max="4352" width="11.42578125" customWidth="1"/>
    <col min="4353" max="4353" width="8.42578125" customWidth="1"/>
    <col min="4354" max="4354" width="45" customWidth="1"/>
    <col min="4355" max="4355" width="18.7109375" customWidth="1"/>
    <col min="4356" max="4356" width="8.42578125" customWidth="1"/>
    <col min="4357" max="4359" width="18.7109375" customWidth="1"/>
    <col min="4360" max="4608" width="11.42578125" customWidth="1"/>
    <col min="4609" max="4609" width="8.42578125" customWidth="1"/>
    <col min="4610" max="4610" width="45" customWidth="1"/>
    <col min="4611" max="4611" width="18.7109375" customWidth="1"/>
    <col min="4612" max="4612" width="8.42578125" customWidth="1"/>
    <col min="4613" max="4615" width="18.7109375" customWidth="1"/>
    <col min="4616" max="4864" width="11.42578125" customWidth="1"/>
    <col min="4865" max="4865" width="8.42578125" customWidth="1"/>
    <col min="4866" max="4866" width="45" customWidth="1"/>
    <col min="4867" max="4867" width="18.7109375" customWidth="1"/>
    <col min="4868" max="4868" width="8.42578125" customWidth="1"/>
    <col min="4869" max="4871" width="18.7109375" customWidth="1"/>
    <col min="4872" max="5120" width="11.42578125" customWidth="1"/>
    <col min="5121" max="5121" width="8.42578125" customWidth="1"/>
    <col min="5122" max="5122" width="45" customWidth="1"/>
    <col min="5123" max="5123" width="18.7109375" customWidth="1"/>
    <col min="5124" max="5124" width="8.42578125" customWidth="1"/>
    <col min="5125" max="5127" width="18.7109375" customWidth="1"/>
    <col min="5128" max="5376" width="11.42578125" customWidth="1"/>
    <col min="5377" max="5377" width="8.42578125" customWidth="1"/>
    <col min="5378" max="5378" width="45" customWidth="1"/>
    <col min="5379" max="5379" width="18.7109375" customWidth="1"/>
    <col min="5380" max="5380" width="8.42578125" customWidth="1"/>
    <col min="5381" max="5383" width="18.7109375" customWidth="1"/>
    <col min="5384" max="5632" width="11.42578125" customWidth="1"/>
    <col min="5633" max="5633" width="8.42578125" customWidth="1"/>
    <col min="5634" max="5634" width="45" customWidth="1"/>
    <col min="5635" max="5635" width="18.7109375" customWidth="1"/>
    <col min="5636" max="5636" width="8.42578125" customWidth="1"/>
    <col min="5637" max="5639" width="18.7109375" customWidth="1"/>
    <col min="5640" max="5888" width="11.42578125" customWidth="1"/>
    <col min="5889" max="5889" width="8.42578125" customWidth="1"/>
    <col min="5890" max="5890" width="45" customWidth="1"/>
    <col min="5891" max="5891" width="18.7109375" customWidth="1"/>
    <col min="5892" max="5892" width="8.42578125" customWidth="1"/>
    <col min="5893" max="5895" width="18.7109375" customWidth="1"/>
    <col min="5896" max="6144" width="11.42578125" customWidth="1"/>
    <col min="6145" max="6145" width="8.42578125" customWidth="1"/>
    <col min="6146" max="6146" width="45" customWidth="1"/>
    <col min="6147" max="6147" width="18.7109375" customWidth="1"/>
    <col min="6148" max="6148" width="8.42578125" customWidth="1"/>
    <col min="6149" max="6151" width="18.7109375" customWidth="1"/>
    <col min="6152" max="6400" width="11.42578125" customWidth="1"/>
    <col min="6401" max="6401" width="8.42578125" customWidth="1"/>
    <col min="6402" max="6402" width="45" customWidth="1"/>
    <col min="6403" max="6403" width="18.7109375" customWidth="1"/>
    <col min="6404" max="6404" width="8.42578125" customWidth="1"/>
    <col min="6405" max="6407" width="18.7109375" customWidth="1"/>
    <col min="6408" max="6656" width="11.42578125" customWidth="1"/>
    <col min="6657" max="6657" width="8.42578125" customWidth="1"/>
    <col min="6658" max="6658" width="45" customWidth="1"/>
    <col min="6659" max="6659" width="18.7109375" customWidth="1"/>
    <col min="6660" max="6660" width="8.42578125" customWidth="1"/>
    <col min="6661" max="6663" width="18.7109375" customWidth="1"/>
    <col min="6664" max="6912" width="11.42578125" customWidth="1"/>
    <col min="6913" max="6913" width="8.42578125" customWidth="1"/>
    <col min="6914" max="6914" width="45" customWidth="1"/>
    <col min="6915" max="6915" width="18.7109375" customWidth="1"/>
    <col min="6916" max="6916" width="8.42578125" customWidth="1"/>
    <col min="6917" max="6919" width="18.7109375" customWidth="1"/>
    <col min="6920" max="7168" width="11.42578125" customWidth="1"/>
    <col min="7169" max="7169" width="8.42578125" customWidth="1"/>
    <col min="7170" max="7170" width="45" customWidth="1"/>
    <col min="7171" max="7171" width="18.7109375" customWidth="1"/>
    <col min="7172" max="7172" width="8.42578125" customWidth="1"/>
    <col min="7173" max="7175" width="18.7109375" customWidth="1"/>
    <col min="7176" max="7424" width="11.42578125" customWidth="1"/>
    <col min="7425" max="7425" width="8.42578125" customWidth="1"/>
    <col min="7426" max="7426" width="45" customWidth="1"/>
    <col min="7427" max="7427" width="18.7109375" customWidth="1"/>
    <col min="7428" max="7428" width="8.42578125" customWidth="1"/>
    <col min="7429" max="7431" width="18.7109375" customWidth="1"/>
    <col min="7432" max="7680" width="11.42578125" customWidth="1"/>
    <col min="7681" max="7681" width="8.42578125" customWidth="1"/>
    <col min="7682" max="7682" width="45" customWidth="1"/>
    <col min="7683" max="7683" width="18.7109375" customWidth="1"/>
    <col min="7684" max="7684" width="8.42578125" customWidth="1"/>
    <col min="7685" max="7687" width="18.7109375" customWidth="1"/>
    <col min="7688" max="7936" width="11.42578125" customWidth="1"/>
    <col min="7937" max="7937" width="8.42578125" customWidth="1"/>
    <col min="7938" max="7938" width="45" customWidth="1"/>
    <col min="7939" max="7939" width="18.7109375" customWidth="1"/>
    <col min="7940" max="7940" width="8.42578125" customWidth="1"/>
    <col min="7941" max="7943" width="18.7109375" customWidth="1"/>
    <col min="7944" max="8192" width="11.42578125" customWidth="1"/>
    <col min="8193" max="8193" width="8.42578125" customWidth="1"/>
    <col min="8194" max="8194" width="45" customWidth="1"/>
    <col min="8195" max="8195" width="18.7109375" customWidth="1"/>
    <col min="8196" max="8196" width="8.42578125" customWidth="1"/>
    <col min="8197" max="8199" width="18.7109375" customWidth="1"/>
    <col min="8200" max="8448" width="11.42578125" customWidth="1"/>
    <col min="8449" max="8449" width="8.42578125" customWidth="1"/>
    <col min="8450" max="8450" width="45" customWidth="1"/>
    <col min="8451" max="8451" width="18.7109375" customWidth="1"/>
    <col min="8452" max="8452" width="8.42578125" customWidth="1"/>
    <col min="8453" max="8455" width="18.7109375" customWidth="1"/>
    <col min="8456" max="8704" width="11.42578125" customWidth="1"/>
    <col min="8705" max="8705" width="8.42578125" customWidth="1"/>
    <col min="8706" max="8706" width="45" customWidth="1"/>
    <col min="8707" max="8707" width="18.7109375" customWidth="1"/>
    <col min="8708" max="8708" width="8.42578125" customWidth="1"/>
    <col min="8709" max="8711" width="18.7109375" customWidth="1"/>
    <col min="8712" max="8960" width="11.42578125" customWidth="1"/>
    <col min="8961" max="8961" width="8.42578125" customWidth="1"/>
    <col min="8962" max="8962" width="45" customWidth="1"/>
    <col min="8963" max="8963" width="18.7109375" customWidth="1"/>
    <col min="8964" max="8964" width="8.42578125" customWidth="1"/>
    <col min="8965" max="8967" width="18.7109375" customWidth="1"/>
    <col min="8968" max="9216" width="11.42578125" customWidth="1"/>
    <col min="9217" max="9217" width="8.42578125" customWidth="1"/>
    <col min="9218" max="9218" width="45" customWidth="1"/>
    <col min="9219" max="9219" width="18.7109375" customWidth="1"/>
    <col min="9220" max="9220" width="8.42578125" customWidth="1"/>
    <col min="9221" max="9223" width="18.7109375" customWidth="1"/>
    <col min="9224" max="9472" width="11.42578125" customWidth="1"/>
    <col min="9473" max="9473" width="8.42578125" customWidth="1"/>
    <col min="9474" max="9474" width="45" customWidth="1"/>
    <col min="9475" max="9475" width="18.7109375" customWidth="1"/>
    <col min="9476" max="9476" width="8.42578125" customWidth="1"/>
    <col min="9477" max="9479" width="18.7109375" customWidth="1"/>
    <col min="9480" max="9728" width="11.42578125" customWidth="1"/>
    <col min="9729" max="9729" width="8.42578125" customWidth="1"/>
    <col min="9730" max="9730" width="45" customWidth="1"/>
    <col min="9731" max="9731" width="18.7109375" customWidth="1"/>
    <col min="9732" max="9732" width="8.42578125" customWidth="1"/>
    <col min="9733" max="9735" width="18.7109375" customWidth="1"/>
    <col min="9736" max="9984" width="11.42578125" customWidth="1"/>
    <col min="9985" max="9985" width="8.42578125" customWidth="1"/>
    <col min="9986" max="9986" width="45" customWidth="1"/>
    <col min="9987" max="9987" width="18.7109375" customWidth="1"/>
    <col min="9988" max="9988" width="8.42578125" customWidth="1"/>
    <col min="9989" max="9991" width="18.7109375" customWidth="1"/>
    <col min="9992" max="10240" width="11.42578125" customWidth="1"/>
    <col min="10241" max="10241" width="8.42578125" customWidth="1"/>
    <col min="10242" max="10242" width="45" customWidth="1"/>
    <col min="10243" max="10243" width="18.7109375" customWidth="1"/>
    <col min="10244" max="10244" width="8.42578125" customWidth="1"/>
    <col min="10245" max="10247" width="18.7109375" customWidth="1"/>
    <col min="10248" max="10496" width="11.42578125" customWidth="1"/>
    <col min="10497" max="10497" width="8.42578125" customWidth="1"/>
    <col min="10498" max="10498" width="45" customWidth="1"/>
    <col min="10499" max="10499" width="18.7109375" customWidth="1"/>
    <col min="10500" max="10500" width="8.42578125" customWidth="1"/>
    <col min="10501" max="10503" width="18.7109375" customWidth="1"/>
    <col min="10504" max="10752" width="11.42578125" customWidth="1"/>
    <col min="10753" max="10753" width="8.42578125" customWidth="1"/>
    <col min="10754" max="10754" width="45" customWidth="1"/>
    <col min="10755" max="10755" width="18.7109375" customWidth="1"/>
    <col min="10756" max="10756" width="8.42578125" customWidth="1"/>
    <col min="10757" max="10759" width="18.7109375" customWidth="1"/>
    <col min="10760" max="11008" width="11.42578125" customWidth="1"/>
    <col min="11009" max="11009" width="8.42578125" customWidth="1"/>
    <col min="11010" max="11010" width="45" customWidth="1"/>
    <col min="11011" max="11011" width="18.7109375" customWidth="1"/>
    <col min="11012" max="11012" width="8.42578125" customWidth="1"/>
    <col min="11013" max="11015" width="18.7109375" customWidth="1"/>
    <col min="11016" max="11264" width="11.42578125" customWidth="1"/>
    <col min="11265" max="11265" width="8.42578125" customWidth="1"/>
    <col min="11266" max="11266" width="45" customWidth="1"/>
    <col min="11267" max="11267" width="18.7109375" customWidth="1"/>
    <col min="11268" max="11268" width="8.42578125" customWidth="1"/>
    <col min="11269" max="11271" width="18.7109375" customWidth="1"/>
    <col min="11272" max="11520" width="11.42578125" customWidth="1"/>
    <col min="11521" max="11521" width="8.42578125" customWidth="1"/>
    <col min="11522" max="11522" width="45" customWidth="1"/>
    <col min="11523" max="11523" width="18.7109375" customWidth="1"/>
    <col min="11524" max="11524" width="8.42578125" customWidth="1"/>
    <col min="11525" max="11527" width="18.7109375" customWidth="1"/>
    <col min="11528" max="11776" width="11.42578125" customWidth="1"/>
    <col min="11777" max="11777" width="8.42578125" customWidth="1"/>
    <col min="11778" max="11778" width="45" customWidth="1"/>
    <col min="11779" max="11779" width="18.7109375" customWidth="1"/>
    <col min="11780" max="11780" width="8.42578125" customWidth="1"/>
    <col min="11781" max="11783" width="18.7109375" customWidth="1"/>
    <col min="11784" max="12032" width="11.42578125" customWidth="1"/>
    <col min="12033" max="12033" width="8.42578125" customWidth="1"/>
    <col min="12034" max="12034" width="45" customWidth="1"/>
    <col min="12035" max="12035" width="18.7109375" customWidth="1"/>
    <col min="12036" max="12036" width="8.42578125" customWidth="1"/>
    <col min="12037" max="12039" width="18.7109375" customWidth="1"/>
    <col min="12040" max="12288" width="11.42578125" customWidth="1"/>
    <col min="12289" max="12289" width="8.42578125" customWidth="1"/>
    <col min="12290" max="12290" width="45" customWidth="1"/>
    <col min="12291" max="12291" width="18.7109375" customWidth="1"/>
    <col min="12292" max="12292" width="8.42578125" customWidth="1"/>
    <col min="12293" max="12295" width="18.7109375" customWidth="1"/>
    <col min="12296" max="12544" width="11.42578125" customWidth="1"/>
    <col min="12545" max="12545" width="8.42578125" customWidth="1"/>
    <col min="12546" max="12546" width="45" customWidth="1"/>
    <col min="12547" max="12547" width="18.7109375" customWidth="1"/>
    <col min="12548" max="12548" width="8.42578125" customWidth="1"/>
    <col min="12549" max="12551" width="18.7109375" customWidth="1"/>
    <col min="12552" max="12800" width="11.42578125" customWidth="1"/>
    <col min="12801" max="12801" width="8.42578125" customWidth="1"/>
    <col min="12802" max="12802" width="45" customWidth="1"/>
    <col min="12803" max="12803" width="18.7109375" customWidth="1"/>
    <col min="12804" max="12804" width="8.42578125" customWidth="1"/>
    <col min="12805" max="12807" width="18.7109375" customWidth="1"/>
    <col min="12808" max="13056" width="11.42578125" customWidth="1"/>
    <col min="13057" max="13057" width="8.42578125" customWidth="1"/>
    <col min="13058" max="13058" width="45" customWidth="1"/>
    <col min="13059" max="13059" width="18.7109375" customWidth="1"/>
    <col min="13060" max="13060" width="8.42578125" customWidth="1"/>
    <col min="13061" max="13063" width="18.7109375" customWidth="1"/>
    <col min="13064" max="13312" width="11.42578125" customWidth="1"/>
    <col min="13313" max="13313" width="8.42578125" customWidth="1"/>
    <col min="13314" max="13314" width="45" customWidth="1"/>
    <col min="13315" max="13315" width="18.7109375" customWidth="1"/>
    <col min="13316" max="13316" width="8.42578125" customWidth="1"/>
    <col min="13317" max="13319" width="18.7109375" customWidth="1"/>
    <col min="13320" max="13568" width="11.42578125" customWidth="1"/>
    <col min="13569" max="13569" width="8.42578125" customWidth="1"/>
    <col min="13570" max="13570" width="45" customWidth="1"/>
    <col min="13571" max="13571" width="18.7109375" customWidth="1"/>
    <col min="13572" max="13572" width="8.42578125" customWidth="1"/>
    <col min="13573" max="13575" width="18.7109375" customWidth="1"/>
    <col min="13576" max="13824" width="11.42578125" customWidth="1"/>
    <col min="13825" max="13825" width="8.42578125" customWidth="1"/>
    <col min="13826" max="13826" width="45" customWidth="1"/>
    <col min="13827" max="13827" width="18.7109375" customWidth="1"/>
    <col min="13828" max="13828" width="8.42578125" customWidth="1"/>
    <col min="13829" max="13831" width="18.7109375" customWidth="1"/>
    <col min="13832" max="14080" width="11.42578125" customWidth="1"/>
    <col min="14081" max="14081" width="8.42578125" customWidth="1"/>
    <col min="14082" max="14082" width="45" customWidth="1"/>
    <col min="14083" max="14083" width="18.7109375" customWidth="1"/>
    <col min="14084" max="14084" width="8.42578125" customWidth="1"/>
    <col min="14085" max="14087" width="18.7109375" customWidth="1"/>
    <col min="14088" max="14336" width="11.42578125" customWidth="1"/>
    <col min="14337" max="14337" width="8.42578125" customWidth="1"/>
    <col min="14338" max="14338" width="45" customWidth="1"/>
    <col min="14339" max="14339" width="18.7109375" customWidth="1"/>
    <col min="14340" max="14340" width="8.42578125" customWidth="1"/>
    <col min="14341" max="14343" width="18.7109375" customWidth="1"/>
    <col min="14344" max="14592" width="11.42578125" customWidth="1"/>
    <col min="14593" max="14593" width="8.42578125" customWidth="1"/>
    <col min="14594" max="14594" width="45" customWidth="1"/>
    <col min="14595" max="14595" width="18.7109375" customWidth="1"/>
    <col min="14596" max="14596" width="8.42578125" customWidth="1"/>
    <col min="14597" max="14599" width="18.7109375" customWidth="1"/>
    <col min="14600" max="14848" width="11.42578125" customWidth="1"/>
    <col min="14849" max="14849" width="8.42578125" customWidth="1"/>
    <col min="14850" max="14850" width="45" customWidth="1"/>
    <col min="14851" max="14851" width="18.7109375" customWidth="1"/>
    <col min="14852" max="14852" width="8.42578125" customWidth="1"/>
    <col min="14853" max="14855" width="18.7109375" customWidth="1"/>
    <col min="14856" max="15104" width="11.42578125" customWidth="1"/>
    <col min="15105" max="15105" width="8.42578125" customWidth="1"/>
    <col min="15106" max="15106" width="45" customWidth="1"/>
    <col min="15107" max="15107" width="18.7109375" customWidth="1"/>
    <col min="15108" max="15108" width="8.42578125" customWidth="1"/>
    <col min="15109" max="15111" width="18.7109375" customWidth="1"/>
    <col min="15112" max="15360" width="11.42578125" customWidth="1"/>
    <col min="15361" max="15361" width="8.42578125" customWidth="1"/>
    <col min="15362" max="15362" width="45" customWidth="1"/>
    <col min="15363" max="15363" width="18.7109375" customWidth="1"/>
    <col min="15364" max="15364" width="8.42578125" customWidth="1"/>
    <col min="15365" max="15367" width="18.7109375" customWidth="1"/>
    <col min="15368" max="15616" width="11.42578125" customWidth="1"/>
    <col min="15617" max="15617" width="8.42578125" customWidth="1"/>
    <col min="15618" max="15618" width="45" customWidth="1"/>
    <col min="15619" max="15619" width="18.7109375" customWidth="1"/>
    <col min="15620" max="15620" width="8.42578125" customWidth="1"/>
    <col min="15621" max="15623" width="18.7109375" customWidth="1"/>
    <col min="15624" max="15872" width="11.42578125" customWidth="1"/>
    <col min="15873" max="15873" width="8.42578125" customWidth="1"/>
    <col min="15874" max="15874" width="45" customWidth="1"/>
    <col min="15875" max="15875" width="18.7109375" customWidth="1"/>
    <col min="15876" max="15876" width="8.42578125" customWidth="1"/>
    <col min="15877" max="15879" width="18.7109375" customWidth="1"/>
    <col min="15880" max="16128" width="11.42578125" customWidth="1"/>
    <col min="16129" max="16129" width="8.42578125" customWidth="1"/>
    <col min="16130" max="16130" width="45" customWidth="1"/>
    <col min="16131" max="16131" width="18.7109375" customWidth="1"/>
    <col min="16132" max="16132" width="8.42578125" customWidth="1"/>
    <col min="16133" max="16135" width="18.7109375" customWidth="1"/>
    <col min="16136" max="16384" width="11.42578125" customWidth="1"/>
  </cols>
  <sheetData>
    <row r="1" spans="1:5" x14ac:dyDescent="0.2">
      <c r="A1" s="58" t="s">
        <v>0</v>
      </c>
      <c r="B1" s="58"/>
      <c r="C1" s="58"/>
      <c r="D1" s="58"/>
      <c r="E1" s="58"/>
    </row>
    <row r="5" spans="1:5" x14ac:dyDescent="0.2">
      <c r="A5" s="58"/>
      <c r="B5" s="58"/>
      <c r="C5" s="58"/>
      <c r="D5" s="58"/>
      <c r="E5" s="58" t="s">
        <v>1</v>
      </c>
    </row>
    <row r="6" spans="1:5" x14ac:dyDescent="0.2">
      <c r="A6" s="58" t="s">
        <v>2</v>
      </c>
      <c r="B6" s="58"/>
      <c r="C6" s="58"/>
      <c r="D6" s="58"/>
      <c r="E6" s="58" t="s">
        <v>3</v>
      </c>
    </row>
    <row r="7" spans="1:5" x14ac:dyDescent="0.2">
      <c r="A7" s="58" t="s">
        <v>4</v>
      </c>
      <c r="B7" s="58"/>
      <c r="C7" s="58"/>
      <c r="D7" s="58"/>
      <c r="E7" s="58" t="s">
        <v>5</v>
      </c>
    </row>
    <row r="8" spans="1:5" x14ac:dyDescent="0.2">
      <c r="A8" s="58" t="s">
        <v>6</v>
      </c>
      <c r="B8" s="58"/>
      <c r="C8" s="58"/>
      <c r="D8" s="58"/>
      <c r="E8" s="58" t="s">
        <v>7</v>
      </c>
    </row>
    <row r="9" spans="1:5" x14ac:dyDescent="0.2">
      <c r="A9" s="58" t="s">
        <v>8</v>
      </c>
      <c r="B9" s="58"/>
      <c r="C9" s="58"/>
      <c r="D9" s="58"/>
      <c r="E9" s="58" t="s">
        <v>9</v>
      </c>
    </row>
    <row r="10" spans="1:5" x14ac:dyDescent="0.2">
      <c r="A10" s="58" t="s">
        <v>10</v>
      </c>
      <c r="B10" s="58"/>
      <c r="C10" s="58"/>
      <c r="D10" s="58"/>
      <c r="E10" s="58" t="s">
        <v>11</v>
      </c>
    </row>
    <row r="11" spans="1:5" x14ac:dyDescent="0.2">
      <c r="A11" s="58" t="s">
        <v>12</v>
      </c>
      <c r="B11" s="58"/>
      <c r="C11" s="58"/>
      <c r="D11" s="58"/>
      <c r="E11" s="58" t="s">
        <v>13</v>
      </c>
    </row>
    <row r="12" spans="1:5" x14ac:dyDescent="0.2">
      <c r="A12" s="58"/>
      <c r="B12" s="58"/>
      <c r="C12" s="58"/>
      <c r="D12" s="58"/>
      <c r="E12" s="58" t="s">
        <v>14</v>
      </c>
    </row>
    <row r="13" spans="1:5" x14ac:dyDescent="0.2">
      <c r="A13" s="58" t="s">
        <v>15</v>
      </c>
      <c r="B13" s="58"/>
      <c r="C13" s="58"/>
      <c r="D13" s="58"/>
      <c r="E13" s="58" t="s">
        <v>16</v>
      </c>
    </row>
    <row r="14" spans="1:5" x14ac:dyDescent="0.2">
      <c r="A14" s="58"/>
      <c r="B14" s="58"/>
      <c r="C14" s="58"/>
      <c r="D14" s="58"/>
      <c r="E14" s="58" t="s">
        <v>18</v>
      </c>
    </row>
    <row r="15" spans="1:5" x14ac:dyDescent="0.2">
      <c r="A15" s="58" t="s">
        <v>17</v>
      </c>
      <c r="B15" s="58"/>
      <c r="C15" s="58"/>
      <c r="D15" s="58"/>
      <c r="E15" s="58" t="s">
        <v>19</v>
      </c>
    </row>
    <row r="16" spans="1:5" x14ac:dyDescent="0.2">
      <c r="A16" s="58" t="s">
        <v>678</v>
      </c>
      <c r="B16" s="58"/>
      <c r="C16" s="58"/>
      <c r="D16" s="58"/>
      <c r="E16" s="58" t="s">
        <v>20</v>
      </c>
    </row>
    <row r="17" spans="1:7" x14ac:dyDescent="0.2">
      <c r="A17" s="58"/>
      <c r="B17" s="58"/>
      <c r="C17" s="58"/>
      <c r="D17" s="58"/>
      <c r="E17" s="58" t="s">
        <v>21</v>
      </c>
      <c r="F17" s="58"/>
      <c r="G17" s="58"/>
    </row>
    <row r="18" spans="1:7" x14ac:dyDescent="0.2">
      <c r="A18" s="58"/>
      <c r="B18" s="58"/>
      <c r="C18" s="58"/>
      <c r="D18" s="58"/>
      <c r="E18" s="58" t="s">
        <v>22</v>
      </c>
      <c r="F18" s="58"/>
      <c r="G18" s="58"/>
    </row>
    <row r="20" spans="1:7" x14ac:dyDescent="0.2">
      <c r="A20" s="58" t="s">
        <v>23</v>
      </c>
      <c r="B20" s="58"/>
      <c r="C20" s="58"/>
      <c r="D20" s="58"/>
      <c r="E20" s="58"/>
      <c r="F20" s="58"/>
      <c r="G20" s="58"/>
    </row>
    <row r="21" spans="1:7" x14ac:dyDescent="0.2">
      <c r="A21" s="58" t="s">
        <v>24</v>
      </c>
      <c r="B21" s="58" t="s">
        <v>25</v>
      </c>
      <c r="C21" s="58" t="s">
        <v>26</v>
      </c>
      <c r="D21" s="58" t="s">
        <v>27</v>
      </c>
      <c r="E21" s="58" t="s">
        <v>28</v>
      </c>
      <c r="F21" s="58" t="s">
        <v>29</v>
      </c>
      <c r="G21" s="58" t="s">
        <v>30</v>
      </c>
    </row>
    <row r="22" spans="1:7" x14ac:dyDescent="0.2">
      <c r="A22" s="58" t="s">
        <v>31</v>
      </c>
      <c r="B22" s="58" t="s">
        <v>32</v>
      </c>
      <c r="C22" s="58" t="s">
        <v>33</v>
      </c>
      <c r="D22" s="58" t="s">
        <v>31</v>
      </c>
      <c r="E22" s="58" t="s">
        <v>34</v>
      </c>
      <c r="F22" s="58" t="s">
        <v>34</v>
      </c>
      <c r="G22" s="58" t="s">
        <v>34</v>
      </c>
    </row>
    <row r="23" spans="1:7" x14ac:dyDescent="0.2">
      <c r="A23" s="58" t="s">
        <v>265</v>
      </c>
      <c r="B23" s="58" t="s">
        <v>35</v>
      </c>
      <c r="C23" s="58" t="s">
        <v>266</v>
      </c>
      <c r="D23" s="58" t="s">
        <v>265</v>
      </c>
      <c r="E23" s="58">
        <v>160.01</v>
      </c>
      <c r="F23" s="58"/>
      <c r="G23" s="58">
        <v>25451.24</v>
      </c>
    </row>
    <row r="24" spans="1:7" x14ac:dyDescent="0.2">
      <c r="A24" s="58" t="s">
        <v>265</v>
      </c>
      <c r="B24" s="58" t="s">
        <v>92</v>
      </c>
      <c r="C24" s="58" t="s">
        <v>267</v>
      </c>
      <c r="D24" s="58" t="s">
        <v>265</v>
      </c>
      <c r="E24" s="58">
        <v>1187</v>
      </c>
      <c r="F24" s="58"/>
      <c r="G24" s="58">
        <v>24264.240000000002</v>
      </c>
    </row>
    <row r="25" spans="1:7" x14ac:dyDescent="0.2">
      <c r="A25" s="58" t="s">
        <v>265</v>
      </c>
      <c r="B25" s="58" t="s">
        <v>268</v>
      </c>
      <c r="C25" s="58" t="s">
        <v>269</v>
      </c>
      <c r="D25" s="58" t="s">
        <v>265</v>
      </c>
      <c r="E25" s="58">
        <v>1667</v>
      </c>
      <c r="F25" s="58"/>
      <c r="G25" s="58">
        <v>22597.24</v>
      </c>
    </row>
    <row r="26" spans="1:7" x14ac:dyDescent="0.2">
      <c r="A26" s="58" t="s">
        <v>270</v>
      </c>
      <c r="B26" s="58" t="s">
        <v>35</v>
      </c>
      <c r="C26" s="58" t="s">
        <v>271</v>
      </c>
      <c r="D26" s="58" t="s">
        <v>270</v>
      </c>
      <c r="E26" s="58">
        <v>127.01</v>
      </c>
      <c r="F26" s="58"/>
      <c r="G26" s="58">
        <v>22470.23</v>
      </c>
    </row>
    <row r="27" spans="1:7" x14ac:dyDescent="0.2">
      <c r="A27" s="58" t="s">
        <v>270</v>
      </c>
      <c r="B27" s="58" t="s">
        <v>272</v>
      </c>
      <c r="C27" s="58" t="s">
        <v>118</v>
      </c>
      <c r="D27" s="58" t="s">
        <v>270</v>
      </c>
      <c r="E27" s="58">
        <v>178.87</v>
      </c>
      <c r="F27" s="58"/>
      <c r="G27" s="58">
        <v>22291.360000000001</v>
      </c>
    </row>
    <row r="28" spans="1:7" x14ac:dyDescent="0.2">
      <c r="A28" s="58" t="s">
        <v>270</v>
      </c>
      <c r="B28" s="58" t="s">
        <v>273</v>
      </c>
      <c r="C28" s="58" t="s">
        <v>118</v>
      </c>
      <c r="D28" s="58" t="s">
        <v>270</v>
      </c>
      <c r="E28" s="58">
        <v>6.62</v>
      </c>
      <c r="F28" s="58"/>
      <c r="G28" s="58">
        <v>22284.74</v>
      </c>
    </row>
    <row r="29" spans="1:7" x14ac:dyDescent="0.2">
      <c r="A29" s="58" t="s">
        <v>270</v>
      </c>
      <c r="B29" s="58" t="s">
        <v>274</v>
      </c>
      <c r="C29" s="58" t="s">
        <v>118</v>
      </c>
      <c r="D29" s="58" t="s">
        <v>270</v>
      </c>
      <c r="E29" s="58">
        <v>6.62</v>
      </c>
      <c r="F29" s="58"/>
      <c r="G29" s="58">
        <v>22278.12</v>
      </c>
    </row>
    <row r="30" spans="1:7" x14ac:dyDescent="0.2">
      <c r="A30" s="58" t="s">
        <v>275</v>
      </c>
      <c r="B30" s="58" t="s">
        <v>65</v>
      </c>
      <c r="C30" s="58" t="s">
        <v>276</v>
      </c>
      <c r="D30" s="58" t="s">
        <v>275</v>
      </c>
      <c r="E30" s="58">
        <v>365.03</v>
      </c>
      <c r="F30" s="58"/>
      <c r="G30" s="58">
        <v>21913.09</v>
      </c>
    </row>
    <row r="31" spans="1:7" x14ac:dyDescent="0.2">
      <c r="A31" s="58" t="s">
        <v>275</v>
      </c>
      <c r="B31" s="58" t="s">
        <v>35</v>
      </c>
      <c r="C31" s="58" t="s">
        <v>277</v>
      </c>
      <c r="D31" s="58" t="s">
        <v>275</v>
      </c>
      <c r="E31" s="58">
        <v>50</v>
      </c>
      <c r="F31" s="58"/>
      <c r="G31" s="58">
        <v>21863.09</v>
      </c>
    </row>
    <row r="32" spans="1:7" x14ac:dyDescent="0.2">
      <c r="A32" s="58" t="s">
        <v>275</v>
      </c>
      <c r="B32" s="58" t="s">
        <v>35</v>
      </c>
      <c r="C32" s="58" t="s">
        <v>278</v>
      </c>
      <c r="D32" s="58" t="s">
        <v>275</v>
      </c>
      <c r="E32" s="58">
        <v>119.57</v>
      </c>
      <c r="F32" s="58"/>
      <c r="G32" s="58">
        <v>21743.52</v>
      </c>
    </row>
    <row r="33" spans="1:7" x14ac:dyDescent="0.2">
      <c r="A33" s="58" t="s">
        <v>275</v>
      </c>
      <c r="B33" s="58" t="s">
        <v>152</v>
      </c>
      <c r="C33" s="58" t="s">
        <v>279</v>
      </c>
      <c r="D33" s="58" t="s">
        <v>275</v>
      </c>
      <c r="E33" s="58">
        <v>1224</v>
      </c>
      <c r="F33" s="58"/>
      <c r="G33" s="58">
        <v>20519.52</v>
      </c>
    </row>
    <row r="34" spans="1:7" x14ac:dyDescent="0.2">
      <c r="A34" s="58" t="s">
        <v>275</v>
      </c>
      <c r="B34" s="58" t="s">
        <v>280</v>
      </c>
      <c r="C34" s="58" t="s">
        <v>281</v>
      </c>
      <c r="D34" s="58" t="s">
        <v>275</v>
      </c>
      <c r="E34" s="58">
        <v>262</v>
      </c>
      <c r="F34" s="58"/>
      <c r="G34" s="58">
        <v>20257.52</v>
      </c>
    </row>
    <row r="35" spans="1:7" x14ac:dyDescent="0.2">
      <c r="A35" s="58" t="s">
        <v>282</v>
      </c>
      <c r="B35" s="58" t="s">
        <v>35</v>
      </c>
      <c r="C35" s="58" t="s">
        <v>283</v>
      </c>
      <c r="D35" s="58" t="s">
        <v>282</v>
      </c>
      <c r="E35" s="58">
        <v>96.25</v>
      </c>
      <c r="F35" s="58"/>
      <c r="G35" s="58">
        <v>20161.27</v>
      </c>
    </row>
    <row r="36" spans="1:7" x14ac:dyDescent="0.2">
      <c r="A36" s="58" t="s">
        <v>284</v>
      </c>
      <c r="B36" s="58" t="s">
        <v>35</v>
      </c>
      <c r="C36" s="58" t="s">
        <v>285</v>
      </c>
      <c r="D36" s="58" t="s">
        <v>284</v>
      </c>
      <c r="E36" s="58">
        <v>50</v>
      </c>
      <c r="F36" s="58"/>
      <c r="G36" s="58">
        <v>20111.27</v>
      </c>
    </row>
    <row r="37" spans="1:7" x14ac:dyDescent="0.2">
      <c r="A37" s="58" t="s">
        <v>284</v>
      </c>
      <c r="B37" s="58" t="s">
        <v>47</v>
      </c>
      <c r="C37" s="58" t="s">
        <v>286</v>
      </c>
      <c r="D37" s="58" t="s">
        <v>284</v>
      </c>
      <c r="E37" s="58">
        <v>690</v>
      </c>
      <c r="F37" s="58"/>
      <c r="G37" s="58">
        <v>19421.27</v>
      </c>
    </row>
    <row r="38" spans="1:7" x14ac:dyDescent="0.2">
      <c r="A38" s="58" t="s">
        <v>287</v>
      </c>
      <c r="B38" s="58" t="s">
        <v>288</v>
      </c>
      <c r="C38" s="58" t="s">
        <v>289</v>
      </c>
      <c r="D38" s="58" t="s">
        <v>287</v>
      </c>
      <c r="E38" s="58">
        <v>1150</v>
      </c>
      <c r="F38" s="58"/>
      <c r="G38" s="58">
        <v>18271.27</v>
      </c>
    </row>
    <row r="39" spans="1:7" x14ac:dyDescent="0.2">
      <c r="A39" s="58" t="s">
        <v>287</v>
      </c>
      <c r="B39" s="58" t="s">
        <v>290</v>
      </c>
      <c r="C39" s="58" t="s">
        <v>291</v>
      </c>
      <c r="D39" s="58" t="s">
        <v>287</v>
      </c>
      <c r="E39" s="58">
        <v>500</v>
      </c>
      <c r="F39" s="58"/>
      <c r="G39" s="58">
        <v>17771.27</v>
      </c>
    </row>
    <row r="40" spans="1:7" x14ac:dyDescent="0.2">
      <c r="A40" s="58" t="s">
        <v>287</v>
      </c>
      <c r="B40" s="58" t="s">
        <v>47</v>
      </c>
      <c r="C40" s="58" t="s">
        <v>292</v>
      </c>
      <c r="D40" s="58" t="s">
        <v>287</v>
      </c>
      <c r="E40" s="58">
        <v>920</v>
      </c>
      <c r="F40" s="58"/>
      <c r="G40" s="58">
        <v>16851.27</v>
      </c>
    </row>
    <row r="41" spans="1:7" x14ac:dyDescent="0.2">
      <c r="A41" s="58" t="s">
        <v>287</v>
      </c>
      <c r="B41" s="58" t="s">
        <v>35</v>
      </c>
      <c r="C41" s="58" t="s">
        <v>293</v>
      </c>
      <c r="D41" s="58" t="s">
        <v>287</v>
      </c>
      <c r="E41" s="58">
        <v>168.44</v>
      </c>
      <c r="F41" s="58"/>
      <c r="G41" s="58">
        <v>16682.830000000002</v>
      </c>
    </row>
    <row r="42" spans="1:7" x14ac:dyDescent="0.2">
      <c r="A42" s="58" t="s">
        <v>294</v>
      </c>
      <c r="B42" s="58" t="s">
        <v>167</v>
      </c>
      <c r="C42" s="58" t="s">
        <v>295</v>
      </c>
      <c r="D42" s="58" t="s">
        <v>294</v>
      </c>
      <c r="E42" s="58">
        <v>440</v>
      </c>
      <c r="F42" s="58"/>
      <c r="G42" s="58">
        <v>16242.83</v>
      </c>
    </row>
    <row r="43" spans="1:7" x14ac:dyDescent="0.2">
      <c r="A43" s="58" t="s">
        <v>294</v>
      </c>
      <c r="B43" s="58" t="s">
        <v>35</v>
      </c>
      <c r="C43" s="58" t="s">
        <v>296</v>
      </c>
      <c r="D43" s="58" t="s">
        <v>294</v>
      </c>
      <c r="E43" s="58">
        <v>83.01</v>
      </c>
      <c r="F43" s="58"/>
      <c r="G43" s="58">
        <v>16159.82</v>
      </c>
    </row>
    <row r="44" spans="1:7" x14ac:dyDescent="0.2">
      <c r="A44" s="58" t="s">
        <v>294</v>
      </c>
      <c r="B44" s="58" t="s">
        <v>35</v>
      </c>
      <c r="C44" s="58" t="s">
        <v>297</v>
      </c>
      <c r="D44" s="58" t="s">
        <v>294</v>
      </c>
      <c r="E44" s="58">
        <v>127.04</v>
      </c>
      <c r="F44" s="58"/>
      <c r="G44" s="58">
        <v>16032.78</v>
      </c>
    </row>
    <row r="45" spans="1:7" x14ac:dyDescent="0.2">
      <c r="A45" s="58" t="s">
        <v>298</v>
      </c>
      <c r="B45" s="58" t="s">
        <v>36</v>
      </c>
      <c r="C45" s="58" t="s">
        <v>299</v>
      </c>
      <c r="D45" s="58" t="s">
        <v>298</v>
      </c>
      <c r="E45" s="58">
        <v>75</v>
      </c>
      <c r="F45" s="58"/>
      <c r="G45" s="58">
        <v>15957.78</v>
      </c>
    </row>
    <row r="46" spans="1:7" x14ac:dyDescent="0.2">
      <c r="A46" s="58" t="s">
        <v>298</v>
      </c>
      <c r="B46" s="58" t="s">
        <v>202</v>
      </c>
      <c r="C46" s="58" t="s">
        <v>300</v>
      </c>
      <c r="D46" s="58" t="s">
        <v>298</v>
      </c>
      <c r="E46" s="58">
        <v>500</v>
      </c>
      <c r="F46" s="58"/>
      <c r="G46" s="58">
        <v>15457.78</v>
      </c>
    </row>
    <row r="47" spans="1:7" x14ac:dyDescent="0.2">
      <c r="A47" s="58" t="s">
        <v>301</v>
      </c>
      <c r="B47" s="58" t="s">
        <v>65</v>
      </c>
      <c r="C47" s="58" t="s">
        <v>302</v>
      </c>
      <c r="D47" s="58" t="s">
        <v>301</v>
      </c>
      <c r="E47" s="58">
        <v>333.15</v>
      </c>
      <c r="F47" s="58"/>
      <c r="G47" s="58">
        <v>15124.63</v>
      </c>
    </row>
    <row r="48" spans="1:7" x14ac:dyDescent="0.2">
      <c r="A48" s="58" t="s">
        <v>303</v>
      </c>
      <c r="B48" s="58" t="s">
        <v>35</v>
      </c>
      <c r="C48" s="58" t="s">
        <v>304</v>
      </c>
      <c r="D48" s="58" t="s">
        <v>303</v>
      </c>
      <c r="E48" s="58">
        <v>68.47</v>
      </c>
      <c r="F48" s="58"/>
      <c r="G48" s="58">
        <v>15056.16</v>
      </c>
    </row>
    <row r="49" spans="1:7" x14ac:dyDescent="0.2">
      <c r="A49" s="58" t="s">
        <v>303</v>
      </c>
      <c r="B49" s="58" t="s">
        <v>305</v>
      </c>
      <c r="C49" s="58" t="s">
        <v>306</v>
      </c>
      <c r="D49" s="58" t="s">
        <v>303</v>
      </c>
      <c r="E49" s="58">
        <v>4495</v>
      </c>
      <c r="F49" s="58"/>
      <c r="G49" s="58">
        <v>10561.16</v>
      </c>
    </row>
    <row r="50" spans="1:7" x14ac:dyDescent="0.2">
      <c r="A50" s="58" t="s">
        <v>303</v>
      </c>
      <c r="B50" s="58" t="s">
        <v>35</v>
      </c>
      <c r="C50" s="58" t="s">
        <v>307</v>
      </c>
      <c r="D50" s="58" t="s">
        <v>303</v>
      </c>
      <c r="E50" s="58">
        <v>67.48</v>
      </c>
      <c r="F50" s="58"/>
      <c r="G50" s="58">
        <v>10493.68</v>
      </c>
    </row>
    <row r="51" spans="1:7" x14ac:dyDescent="0.2">
      <c r="A51" s="58" t="s">
        <v>303</v>
      </c>
      <c r="B51" s="58" t="s">
        <v>308</v>
      </c>
      <c r="C51" s="58" t="s">
        <v>309</v>
      </c>
      <c r="D51" s="58" t="s">
        <v>303</v>
      </c>
      <c r="E51" s="58">
        <v>59</v>
      </c>
      <c r="F51" s="58"/>
      <c r="G51" s="58">
        <v>10434.68</v>
      </c>
    </row>
    <row r="52" spans="1:7" x14ac:dyDescent="0.2">
      <c r="A52" s="58" t="s">
        <v>310</v>
      </c>
      <c r="B52" s="58" t="s">
        <v>280</v>
      </c>
      <c r="C52" s="58" t="s">
        <v>311</v>
      </c>
      <c r="D52" s="58" t="s">
        <v>310</v>
      </c>
      <c r="E52" s="58">
        <v>1170</v>
      </c>
      <c r="F52" s="58"/>
      <c r="G52" s="58">
        <v>9264.68</v>
      </c>
    </row>
    <row r="53" spans="1:7" x14ac:dyDescent="0.2">
      <c r="A53" s="58" t="s">
        <v>310</v>
      </c>
      <c r="B53" s="58" t="s">
        <v>35</v>
      </c>
      <c r="C53" s="58" t="s">
        <v>312</v>
      </c>
      <c r="D53" s="58" t="s">
        <v>310</v>
      </c>
      <c r="E53" s="58">
        <v>89.93</v>
      </c>
      <c r="F53" s="58"/>
      <c r="G53" s="58">
        <v>9174.75</v>
      </c>
    </row>
    <row r="54" spans="1:7" x14ac:dyDescent="0.2">
      <c r="A54" s="58" t="s">
        <v>313</v>
      </c>
      <c r="B54" s="58" t="s">
        <v>35</v>
      </c>
      <c r="C54" s="58" t="s">
        <v>314</v>
      </c>
      <c r="D54" s="58" t="s">
        <v>313</v>
      </c>
      <c r="E54" s="58">
        <v>241.47</v>
      </c>
      <c r="F54" s="58"/>
      <c r="G54" s="58">
        <v>8933.2800000000007</v>
      </c>
    </row>
    <row r="55" spans="1:7" x14ac:dyDescent="0.2">
      <c r="A55" s="58" t="s">
        <v>313</v>
      </c>
      <c r="B55" s="58" t="s">
        <v>35</v>
      </c>
      <c r="C55" s="58" t="s">
        <v>315</v>
      </c>
      <c r="D55" s="58" t="s">
        <v>313</v>
      </c>
      <c r="E55" s="58">
        <v>146.08000000000001</v>
      </c>
      <c r="F55" s="58"/>
      <c r="G55" s="58">
        <v>8787.2000000000007</v>
      </c>
    </row>
    <row r="56" spans="1:7" x14ac:dyDescent="0.2">
      <c r="A56" s="58" t="s">
        <v>316</v>
      </c>
      <c r="B56" s="58" t="s">
        <v>35</v>
      </c>
      <c r="C56" s="58" t="s">
        <v>317</v>
      </c>
      <c r="D56" s="58" t="s">
        <v>316</v>
      </c>
      <c r="E56" s="58">
        <v>167.42</v>
      </c>
      <c r="F56" s="58"/>
      <c r="G56" s="58">
        <v>8619.7800000000007</v>
      </c>
    </row>
    <row r="57" spans="1:7" x14ac:dyDescent="0.2">
      <c r="A57" s="58" t="s">
        <v>316</v>
      </c>
      <c r="B57" s="58" t="s">
        <v>318</v>
      </c>
      <c r="C57" s="58" t="s">
        <v>319</v>
      </c>
      <c r="D57" s="58" t="s">
        <v>316</v>
      </c>
      <c r="E57" s="58">
        <v>3415</v>
      </c>
      <c r="F57" s="58"/>
      <c r="G57" s="58">
        <v>5204.78</v>
      </c>
    </row>
    <row r="58" spans="1:7" x14ac:dyDescent="0.2">
      <c r="A58" s="58" t="s">
        <v>320</v>
      </c>
      <c r="B58" s="58" t="s">
        <v>35</v>
      </c>
      <c r="C58" s="58" t="s">
        <v>321</v>
      </c>
      <c r="D58" s="58" t="s">
        <v>320</v>
      </c>
      <c r="E58" s="58">
        <v>126.42</v>
      </c>
      <c r="F58" s="58"/>
      <c r="G58" s="58">
        <v>5078.3599999999997</v>
      </c>
    </row>
    <row r="59" spans="1:7" x14ac:dyDescent="0.2">
      <c r="A59" s="58" t="s">
        <v>322</v>
      </c>
      <c r="B59" s="58" t="s">
        <v>35</v>
      </c>
      <c r="C59" s="58" t="s">
        <v>323</v>
      </c>
      <c r="D59" s="58" t="s">
        <v>322</v>
      </c>
      <c r="E59" s="58">
        <v>178</v>
      </c>
      <c r="F59" s="58"/>
      <c r="G59" s="58">
        <v>4900.3599999999997</v>
      </c>
    </row>
    <row r="60" spans="1:7" x14ac:dyDescent="0.2">
      <c r="A60" s="58" t="s">
        <v>322</v>
      </c>
      <c r="B60" s="58" t="s">
        <v>36</v>
      </c>
      <c r="C60" s="58" t="s">
        <v>324</v>
      </c>
      <c r="D60" s="58" t="s">
        <v>322</v>
      </c>
      <c r="E60" s="58">
        <v>50</v>
      </c>
      <c r="F60" s="58"/>
      <c r="G60" s="58">
        <v>4850.3599999999997</v>
      </c>
    </row>
    <row r="61" spans="1:7" x14ac:dyDescent="0.2">
      <c r="A61" s="58" t="s">
        <v>322</v>
      </c>
      <c r="B61" s="58" t="s">
        <v>36</v>
      </c>
      <c r="C61" s="58" t="s">
        <v>325</v>
      </c>
      <c r="D61" s="58" t="s">
        <v>322</v>
      </c>
      <c r="E61" s="58">
        <v>75</v>
      </c>
      <c r="F61" s="58"/>
      <c r="G61" s="58">
        <v>4775.3599999999997</v>
      </c>
    </row>
    <row r="62" spans="1:7" x14ac:dyDescent="0.2">
      <c r="A62" s="58" t="s">
        <v>322</v>
      </c>
      <c r="B62" s="58" t="s">
        <v>326</v>
      </c>
      <c r="C62" s="58" t="s">
        <v>327</v>
      </c>
      <c r="D62" s="58" t="s">
        <v>322</v>
      </c>
      <c r="E62" s="58"/>
      <c r="F62" s="58">
        <v>109413</v>
      </c>
      <c r="G62" s="58">
        <v>114188.36</v>
      </c>
    </row>
    <row r="63" spans="1:7" x14ac:dyDescent="0.2">
      <c r="A63" s="58" t="s">
        <v>322</v>
      </c>
      <c r="B63" s="58" t="s">
        <v>35</v>
      </c>
      <c r="C63" s="58" t="s">
        <v>328</v>
      </c>
      <c r="D63" s="58" t="s">
        <v>322</v>
      </c>
      <c r="E63" s="58">
        <v>302.8</v>
      </c>
      <c r="F63" s="58"/>
      <c r="G63" s="58">
        <v>113885.56</v>
      </c>
    </row>
    <row r="64" spans="1:7" x14ac:dyDescent="0.2">
      <c r="A64" s="58" t="s">
        <v>329</v>
      </c>
      <c r="B64" s="58" t="s">
        <v>330</v>
      </c>
      <c r="C64" s="58" t="s">
        <v>331</v>
      </c>
      <c r="D64" s="58" t="s">
        <v>329</v>
      </c>
      <c r="E64" s="58"/>
      <c r="F64" s="58">
        <v>5000</v>
      </c>
      <c r="G64" s="58">
        <v>118885.56</v>
      </c>
    </row>
    <row r="65" spans="1:7" x14ac:dyDescent="0.2">
      <c r="A65" s="58" t="s">
        <v>329</v>
      </c>
      <c r="B65" s="58" t="s">
        <v>35</v>
      </c>
      <c r="C65" s="58" t="s">
        <v>332</v>
      </c>
      <c r="D65" s="58" t="s">
        <v>329</v>
      </c>
      <c r="E65" s="58">
        <v>114.46</v>
      </c>
      <c r="F65" s="58"/>
      <c r="G65" s="58">
        <v>118771.1</v>
      </c>
    </row>
    <row r="66" spans="1:7" x14ac:dyDescent="0.2">
      <c r="A66" s="58" t="s">
        <v>329</v>
      </c>
      <c r="B66" s="58" t="s">
        <v>290</v>
      </c>
      <c r="C66" s="58" t="s">
        <v>333</v>
      </c>
      <c r="D66" s="58" t="s">
        <v>329</v>
      </c>
      <c r="E66" s="58">
        <v>10000</v>
      </c>
      <c r="F66" s="58"/>
      <c r="G66" s="58">
        <v>108771.1</v>
      </c>
    </row>
    <row r="67" spans="1:7" x14ac:dyDescent="0.2">
      <c r="A67" s="58" t="s">
        <v>334</v>
      </c>
      <c r="B67" s="58" t="s">
        <v>35</v>
      </c>
      <c r="C67" s="58" t="s">
        <v>335</v>
      </c>
      <c r="D67" s="58" t="s">
        <v>334</v>
      </c>
      <c r="E67" s="58">
        <v>190.39</v>
      </c>
      <c r="F67" s="58"/>
      <c r="G67" s="58">
        <v>108580.71</v>
      </c>
    </row>
    <row r="68" spans="1:7" x14ac:dyDescent="0.2">
      <c r="A68" s="58" t="s">
        <v>334</v>
      </c>
      <c r="B68" s="58" t="s">
        <v>36</v>
      </c>
      <c r="C68" s="58" t="s">
        <v>336</v>
      </c>
      <c r="D68" s="58" t="s">
        <v>334</v>
      </c>
      <c r="E68" s="58">
        <v>75</v>
      </c>
      <c r="F68" s="58"/>
      <c r="G68" s="58">
        <v>108505.71</v>
      </c>
    </row>
    <row r="69" spans="1:7" x14ac:dyDescent="0.2">
      <c r="A69" s="58" t="s">
        <v>334</v>
      </c>
      <c r="B69" s="58" t="s">
        <v>280</v>
      </c>
      <c r="C69" s="58" t="s">
        <v>337</v>
      </c>
      <c r="D69" s="58" t="s">
        <v>334</v>
      </c>
      <c r="E69" s="58">
        <v>1113</v>
      </c>
      <c r="F69" s="58"/>
      <c r="G69" s="58">
        <v>107392.71</v>
      </c>
    </row>
    <row r="70" spans="1:7" x14ac:dyDescent="0.2">
      <c r="A70" s="58" t="s">
        <v>338</v>
      </c>
      <c r="B70" s="58" t="s">
        <v>35</v>
      </c>
      <c r="C70" s="58" t="s">
        <v>339</v>
      </c>
      <c r="D70" s="58" t="s">
        <v>338</v>
      </c>
      <c r="E70" s="58">
        <v>98.01</v>
      </c>
      <c r="F70" s="58"/>
      <c r="G70" s="58">
        <v>107294.7</v>
      </c>
    </row>
    <row r="71" spans="1:7" x14ac:dyDescent="0.2">
      <c r="A71" s="58" t="s">
        <v>338</v>
      </c>
      <c r="B71" s="58" t="s">
        <v>65</v>
      </c>
      <c r="C71" s="58" t="s">
        <v>340</v>
      </c>
      <c r="D71" s="58" t="s">
        <v>338</v>
      </c>
      <c r="E71" s="58">
        <v>427.12</v>
      </c>
      <c r="F71" s="58"/>
      <c r="G71" s="58">
        <v>106867.58</v>
      </c>
    </row>
    <row r="72" spans="1:7" x14ac:dyDescent="0.2">
      <c r="A72" s="58" t="s">
        <v>338</v>
      </c>
      <c r="B72" s="58" t="s">
        <v>167</v>
      </c>
      <c r="C72" s="58" t="s">
        <v>341</v>
      </c>
      <c r="D72" s="58" t="s">
        <v>338</v>
      </c>
      <c r="E72" s="58">
        <v>285</v>
      </c>
      <c r="F72" s="58"/>
      <c r="G72" s="58">
        <v>106582.58</v>
      </c>
    </row>
    <row r="73" spans="1:7" x14ac:dyDescent="0.2">
      <c r="A73" s="58" t="s">
        <v>342</v>
      </c>
      <c r="B73" s="58" t="s">
        <v>36</v>
      </c>
      <c r="C73" s="58" t="s">
        <v>343</v>
      </c>
      <c r="D73" s="58" t="s">
        <v>342</v>
      </c>
      <c r="E73" s="58">
        <v>75</v>
      </c>
      <c r="F73" s="58"/>
      <c r="G73" s="58">
        <v>106507.58</v>
      </c>
    </row>
    <row r="74" spans="1:7" x14ac:dyDescent="0.2">
      <c r="A74" s="58" t="s">
        <v>342</v>
      </c>
      <c r="B74" s="58" t="s">
        <v>35</v>
      </c>
      <c r="C74" s="58" t="s">
        <v>344</v>
      </c>
      <c r="D74" s="58" t="s">
        <v>342</v>
      </c>
      <c r="E74" s="58">
        <v>138.08000000000001</v>
      </c>
      <c r="F74" s="58"/>
      <c r="G74" s="58">
        <v>106369.5</v>
      </c>
    </row>
    <row r="75" spans="1:7" x14ac:dyDescent="0.2">
      <c r="A75" s="58" t="s">
        <v>342</v>
      </c>
      <c r="B75" s="58" t="s">
        <v>345</v>
      </c>
      <c r="C75" s="58" t="s">
        <v>346</v>
      </c>
      <c r="D75" s="58" t="s">
        <v>342</v>
      </c>
      <c r="E75" s="58">
        <v>348</v>
      </c>
      <c r="F75" s="58"/>
      <c r="G75" s="58">
        <v>106021.5</v>
      </c>
    </row>
    <row r="76" spans="1:7" x14ac:dyDescent="0.2">
      <c r="A76" s="58" t="s">
        <v>342</v>
      </c>
      <c r="B76" s="58" t="s">
        <v>347</v>
      </c>
      <c r="C76" s="58" t="s">
        <v>348</v>
      </c>
      <c r="D76" s="58" t="s">
        <v>342</v>
      </c>
      <c r="E76" s="58">
        <v>300</v>
      </c>
      <c r="F76" s="58"/>
      <c r="G76" s="58">
        <v>105721.5</v>
      </c>
    </row>
    <row r="77" spans="1:7" x14ac:dyDescent="0.2">
      <c r="A77" s="58" t="s">
        <v>342</v>
      </c>
      <c r="B77" s="58" t="s">
        <v>349</v>
      </c>
      <c r="C77" s="58" t="s">
        <v>350</v>
      </c>
      <c r="D77" s="58" t="s">
        <v>342</v>
      </c>
      <c r="E77" s="58">
        <v>1240</v>
      </c>
      <c r="F77" s="58"/>
      <c r="G77" s="58">
        <v>104481.5</v>
      </c>
    </row>
    <row r="78" spans="1:7" x14ac:dyDescent="0.2">
      <c r="A78" s="58" t="s">
        <v>351</v>
      </c>
      <c r="B78" s="58" t="s">
        <v>35</v>
      </c>
      <c r="C78" s="58" t="s">
        <v>352</v>
      </c>
      <c r="D78" s="58" t="s">
        <v>351</v>
      </c>
      <c r="E78" s="58">
        <v>191.63</v>
      </c>
      <c r="F78" s="58"/>
      <c r="G78" s="58">
        <v>104289.87</v>
      </c>
    </row>
    <row r="79" spans="1:7" x14ac:dyDescent="0.2">
      <c r="A79" s="58" t="s">
        <v>351</v>
      </c>
      <c r="B79" s="58" t="s">
        <v>308</v>
      </c>
      <c r="C79" s="58" t="s">
        <v>353</v>
      </c>
      <c r="D79" s="58" t="s">
        <v>351</v>
      </c>
      <c r="E79" s="58">
        <v>235</v>
      </c>
      <c r="F79" s="58"/>
      <c r="G79" s="58">
        <v>104054.87</v>
      </c>
    </row>
    <row r="80" spans="1:7" x14ac:dyDescent="0.2">
      <c r="A80" s="58" t="s">
        <v>351</v>
      </c>
      <c r="B80" s="58" t="s">
        <v>35</v>
      </c>
      <c r="C80" s="58" t="s">
        <v>354</v>
      </c>
      <c r="D80" s="58" t="s">
        <v>351</v>
      </c>
      <c r="E80" s="58">
        <v>107.5</v>
      </c>
      <c r="F80" s="58"/>
      <c r="G80" s="58">
        <v>103947.37</v>
      </c>
    </row>
    <row r="81" spans="1:7" x14ac:dyDescent="0.2">
      <c r="A81" s="58" t="s">
        <v>351</v>
      </c>
      <c r="B81" s="58" t="s">
        <v>355</v>
      </c>
      <c r="C81" s="58" t="s">
        <v>356</v>
      </c>
      <c r="D81" s="58" t="s">
        <v>351</v>
      </c>
      <c r="E81" s="58">
        <v>355</v>
      </c>
      <c r="F81" s="58"/>
      <c r="G81" s="58">
        <v>103592.37</v>
      </c>
    </row>
    <row r="82" spans="1:7" x14ac:dyDescent="0.2">
      <c r="A82" s="58" t="s">
        <v>351</v>
      </c>
      <c r="B82" s="58" t="s">
        <v>35</v>
      </c>
      <c r="C82" s="58" t="s">
        <v>357</v>
      </c>
      <c r="D82" s="58" t="s">
        <v>351</v>
      </c>
      <c r="E82" s="58">
        <v>128.16999999999999</v>
      </c>
      <c r="F82" s="58"/>
      <c r="G82" s="58">
        <v>103464.2</v>
      </c>
    </row>
    <row r="83" spans="1:7" x14ac:dyDescent="0.2">
      <c r="A83" s="58" t="s">
        <v>351</v>
      </c>
      <c r="B83" s="58" t="s">
        <v>345</v>
      </c>
      <c r="C83" s="58" t="s">
        <v>358</v>
      </c>
      <c r="D83" s="58" t="s">
        <v>351</v>
      </c>
      <c r="E83" s="58">
        <v>250</v>
      </c>
      <c r="F83" s="58"/>
      <c r="G83" s="58">
        <v>103214.2</v>
      </c>
    </row>
    <row r="84" spans="1:7" x14ac:dyDescent="0.2">
      <c r="A84" s="58" t="s">
        <v>351</v>
      </c>
      <c r="B84" s="58" t="s">
        <v>35</v>
      </c>
      <c r="C84" s="58" t="s">
        <v>359</v>
      </c>
      <c r="D84" s="58" t="s">
        <v>351</v>
      </c>
      <c r="E84" s="58">
        <v>218.74</v>
      </c>
      <c r="F84" s="58"/>
      <c r="G84" s="58">
        <v>102995.46</v>
      </c>
    </row>
    <row r="85" spans="1:7" x14ac:dyDescent="0.2">
      <c r="A85" s="58" t="s">
        <v>351</v>
      </c>
      <c r="B85" s="58" t="s">
        <v>96</v>
      </c>
      <c r="C85" s="58" t="s">
        <v>360</v>
      </c>
      <c r="D85" s="58" t="s">
        <v>361</v>
      </c>
      <c r="E85" s="58">
        <v>233</v>
      </c>
      <c r="F85" s="58"/>
      <c r="G85" s="58">
        <v>102762.46</v>
      </c>
    </row>
    <row r="86" spans="1:7" x14ac:dyDescent="0.2">
      <c r="A86" s="58" t="s">
        <v>361</v>
      </c>
      <c r="B86" s="58" t="s">
        <v>167</v>
      </c>
      <c r="C86" s="58" t="s">
        <v>362</v>
      </c>
      <c r="D86" s="58" t="s">
        <v>361</v>
      </c>
      <c r="E86" s="58">
        <v>468</v>
      </c>
      <c r="F86" s="58"/>
      <c r="G86" s="58">
        <v>102294.46</v>
      </c>
    </row>
    <row r="87" spans="1:7" x14ac:dyDescent="0.2">
      <c r="A87" s="58" t="s">
        <v>361</v>
      </c>
      <c r="B87" s="58" t="s">
        <v>363</v>
      </c>
      <c r="C87" s="58" t="s">
        <v>364</v>
      </c>
      <c r="D87" s="58" t="s">
        <v>361</v>
      </c>
      <c r="E87" s="58">
        <v>18000</v>
      </c>
      <c r="F87" s="58"/>
      <c r="G87" s="58">
        <v>84294.46</v>
      </c>
    </row>
    <row r="88" spans="1:7" x14ac:dyDescent="0.2">
      <c r="A88" s="58" t="s">
        <v>361</v>
      </c>
      <c r="B88" s="58" t="s">
        <v>365</v>
      </c>
      <c r="C88" s="58" t="s">
        <v>366</v>
      </c>
      <c r="D88" s="58" t="s">
        <v>361</v>
      </c>
      <c r="E88" s="58">
        <v>220</v>
      </c>
      <c r="F88" s="58"/>
      <c r="G88" s="58">
        <v>84074.46</v>
      </c>
    </row>
    <row r="89" spans="1:7" x14ac:dyDescent="0.2">
      <c r="A89" s="58" t="s">
        <v>361</v>
      </c>
      <c r="B89" s="58" t="s">
        <v>347</v>
      </c>
      <c r="C89" s="58" t="s">
        <v>367</v>
      </c>
      <c r="D89" s="58" t="s">
        <v>361</v>
      </c>
      <c r="E89" s="58">
        <v>500</v>
      </c>
      <c r="F89" s="58"/>
      <c r="G89" s="58">
        <v>83574.460000000006</v>
      </c>
    </row>
    <row r="90" spans="1:7" x14ac:dyDescent="0.2">
      <c r="A90" s="58" t="s">
        <v>368</v>
      </c>
      <c r="B90" s="58" t="s">
        <v>36</v>
      </c>
      <c r="C90" s="58" t="s">
        <v>369</v>
      </c>
      <c r="D90" s="58" t="s">
        <v>368</v>
      </c>
      <c r="E90" s="58">
        <v>75</v>
      </c>
      <c r="F90" s="58"/>
      <c r="G90" s="58">
        <v>83499.460000000006</v>
      </c>
    </row>
    <row r="91" spans="1:7" x14ac:dyDescent="0.2">
      <c r="A91" s="58" t="s">
        <v>368</v>
      </c>
      <c r="B91" s="58" t="s">
        <v>370</v>
      </c>
      <c r="C91" s="58" t="s">
        <v>371</v>
      </c>
      <c r="D91" s="58" t="s">
        <v>368</v>
      </c>
      <c r="E91" s="58">
        <v>200</v>
      </c>
      <c r="F91" s="58"/>
      <c r="G91" s="58">
        <v>83299.460000000006</v>
      </c>
    </row>
    <row r="92" spans="1:7" x14ac:dyDescent="0.2">
      <c r="A92" s="58" t="s">
        <v>368</v>
      </c>
      <c r="B92" s="58" t="s">
        <v>52</v>
      </c>
      <c r="C92" s="58" t="s">
        <v>372</v>
      </c>
      <c r="D92" s="58" t="s">
        <v>368</v>
      </c>
      <c r="E92" s="58">
        <v>150</v>
      </c>
      <c r="F92" s="58"/>
      <c r="G92" s="58">
        <v>83149.460000000006</v>
      </c>
    </row>
    <row r="93" spans="1:7" x14ac:dyDescent="0.2">
      <c r="A93" s="58" t="s">
        <v>373</v>
      </c>
      <c r="B93" s="58" t="s">
        <v>374</v>
      </c>
      <c r="C93" s="58" t="s">
        <v>375</v>
      </c>
      <c r="D93" s="58" t="s">
        <v>373</v>
      </c>
      <c r="E93" s="58"/>
      <c r="F93" s="58">
        <v>30436</v>
      </c>
      <c r="G93" s="58">
        <v>113585.46</v>
      </c>
    </row>
    <row r="94" spans="1:7" x14ac:dyDescent="0.2">
      <c r="A94" s="58" t="s">
        <v>373</v>
      </c>
      <c r="B94" s="58" t="s">
        <v>35</v>
      </c>
      <c r="C94" s="58" t="s">
        <v>376</v>
      </c>
      <c r="D94" s="58" t="s">
        <v>373</v>
      </c>
      <c r="E94" s="58">
        <v>141.65</v>
      </c>
      <c r="F94" s="58"/>
      <c r="G94" s="58">
        <v>113443.81</v>
      </c>
    </row>
    <row r="95" spans="1:7" x14ac:dyDescent="0.2">
      <c r="A95" s="58" t="s">
        <v>377</v>
      </c>
      <c r="B95" s="58" t="s">
        <v>36</v>
      </c>
      <c r="C95" s="58" t="s">
        <v>378</v>
      </c>
      <c r="D95" s="58" t="s">
        <v>377</v>
      </c>
      <c r="E95" s="58">
        <v>75</v>
      </c>
      <c r="F95" s="58"/>
      <c r="G95" s="58">
        <v>113368.81</v>
      </c>
    </row>
    <row r="96" spans="1:7" x14ac:dyDescent="0.2">
      <c r="A96" s="58" t="s">
        <v>379</v>
      </c>
      <c r="B96" s="58" t="s">
        <v>35</v>
      </c>
      <c r="C96" s="58" t="s">
        <v>380</v>
      </c>
      <c r="D96" s="58" t="s">
        <v>379</v>
      </c>
      <c r="E96" s="58">
        <v>136.66</v>
      </c>
      <c r="F96" s="58"/>
      <c r="G96" s="58">
        <v>113232.15</v>
      </c>
    </row>
    <row r="97" spans="1:7" x14ac:dyDescent="0.2">
      <c r="A97" s="58" t="s">
        <v>379</v>
      </c>
      <c r="B97" s="58" t="s">
        <v>65</v>
      </c>
      <c r="C97" s="58" t="s">
        <v>381</v>
      </c>
      <c r="D97" s="58" t="s">
        <v>379</v>
      </c>
      <c r="E97" s="58">
        <v>380.15</v>
      </c>
      <c r="F97" s="58"/>
      <c r="G97" s="58">
        <v>112852</v>
      </c>
    </row>
    <row r="98" spans="1:7" x14ac:dyDescent="0.2">
      <c r="A98" s="58" t="s">
        <v>382</v>
      </c>
      <c r="B98" s="58" t="s">
        <v>35</v>
      </c>
      <c r="C98" s="58" t="s">
        <v>383</v>
      </c>
      <c r="D98" s="58" t="s">
        <v>382</v>
      </c>
      <c r="E98" s="58">
        <v>154.25</v>
      </c>
      <c r="F98" s="58"/>
      <c r="G98" s="58">
        <v>112697.75</v>
      </c>
    </row>
    <row r="99" spans="1:7" x14ac:dyDescent="0.2">
      <c r="A99" s="58" t="s">
        <v>382</v>
      </c>
      <c r="B99" s="58" t="s">
        <v>35</v>
      </c>
      <c r="C99" s="58" t="s">
        <v>384</v>
      </c>
      <c r="D99" s="58" t="s">
        <v>382</v>
      </c>
      <c r="E99" s="58">
        <v>84.86</v>
      </c>
      <c r="F99" s="58"/>
      <c r="G99" s="58">
        <v>112612.89</v>
      </c>
    </row>
    <row r="100" spans="1:7" x14ac:dyDescent="0.2">
      <c r="A100" s="58" t="s">
        <v>382</v>
      </c>
      <c r="B100" s="58" t="s">
        <v>36</v>
      </c>
      <c r="C100" s="58" t="s">
        <v>385</v>
      </c>
      <c r="D100" s="58" t="s">
        <v>382</v>
      </c>
      <c r="E100" s="58">
        <v>50</v>
      </c>
      <c r="F100" s="58"/>
      <c r="G100" s="58">
        <v>112562.89</v>
      </c>
    </row>
    <row r="101" spans="1:7" x14ac:dyDescent="0.2">
      <c r="A101" s="58" t="s">
        <v>382</v>
      </c>
      <c r="B101" s="58" t="s">
        <v>35</v>
      </c>
      <c r="C101" s="58" t="s">
        <v>386</v>
      </c>
      <c r="D101" s="58" t="s">
        <v>382</v>
      </c>
      <c r="E101" s="58">
        <v>187.41</v>
      </c>
      <c r="F101" s="58"/>
      <c r="G101" s="58">
        <v>112375.48</v>
      </c>
    </row>
    <row r="102" spans="1:7" x14ac:dyDescent="0.2">
      <c r="A102" s="58" t="s">
        <v>387</v>
      </c>
      <c r="B102" s="58" t="s">
        <v>54</v>
      </c>
      <c r="C102" s="58" t="s">
        <v>388</v>
      </c>
      <c r="D102" s="58" t="s">
        <v>387</v>
      </c>
      <c r="E102" s="58">
        <v>133</v>
      </c>
      <c r="F102" s="58"/>
      <c r="G102" s="58">
        <v>112242.48</v>
      </c>
    </row>
    <row r="103" spans="1:7" x14ac:dyDescent="0.2">
      <c r="A103" s="58" t="s">
        <v>387</v>
      </c>
      <c r="B103" s="58" t="s">
        <v>54</v>
      </c>
      <c r="C103" s="58" t="s">
        <v>389</v>
      </c>
      <c r="D103" s="58" t="s">
        <v>387</v>
      </c>
      <c r="E103" s="58">
        <v>129</v>
      </c>
      <c r="F103" s="58"/>
      <c r="G103" s="58">
        <v>112113.48</v>
      </c>
    </row>
    <row r="104" spans="1:7" x14ac:dyDescent="0.2">
      <c r="A104" s="58" t="s">
        <v>387</v>
      </c>
      <c r="B104" s="58" t="s">
        <v>390</v>
      </c>
      <c r="C104" s="58" t="s">
        <v>391</v>
      </c>
      <c r="D104" s="58" t="s">
        <v>387</v>
      </c>
      <c r="E104" s="58">
        <v>1015</v>
      </c>
      <c r="F104" s="58"/>
      <c r="G104" s="58">
        <v>111098.48</v>
      </c>
    </row>
    <row r="105" spans="1:7" x14ac:dyDescent="0.2">
      <c r="A105" s="58" t="s">
        <v>392</v>
      </c>
      <c r="B105" s="58" t="s">
        <v>35</v>
      </c>
      <c r="C105" s="58" t="s">
        <v>393</v>
      </c>
      <c r="D105" s="58" t="s">
        <v>392</v>
      </c>
      <c r="E105" s="58">
        <v>102.3</v>
      </c>
      <c r="F105" s="58"/>
      <c r="G105" s="58">
        <v>110996.18</v>
      </c>
    </row>
    <row r="106" spans="1:7" x14ac:dyDescent="0.2">
      <c r="A106" s="58" t="s">
        <v>392</v>
      </c>
      <c r="B106" s="58" t="s">
        <v>394</v>
      </c>
      <c r="C106" s="58" t="s">
        <v>395</v>
      </c>
      <c r="D106" s="58" t="s">
        <v>392</v>
      </c>
      <c r="E106" s="58">
        <v>964</v>
      </c>
      <c r="F106" s="58"/>
      <c r="G106" s="58">
        <v>110032.18</v>
      </c>
    </row>
    <row r="107" spans="1:7" x14ac:dyDescent="0.2">
      <c r="A107" s="58" t="s">
        <v>396</v>
      </c>
      <c r="B107" s="58" t="s">
        <v>35</v>
      </c>
      <c r="C107" s="58" t="s">
        <v>397</v>
      </c>
      <c r="D107" s="58" t="s">
        <v>396</v>
      </c>
      <c r="E107" s="58">
        <v>89.01</v>
      </c>
      <c r="F107" s="58"/>
      <c r="G107" s="58">
        <v>109943.17</v>
      </c>
    </row>
    <row r="108" spans="1:7" x14ac:dyDescent="0.2">
      <c r="A108" s="58" t="s">
        <v>396</v>
      </c>
      <c r="B108" s="58" t="s">
        <v>161</v>
      </c>
      <c r="C108" s="58" t="s">
        <v>398</v>
      </c>
      <c r="D108" s="58" t="s">
        <v>396</v>
      </c>
      <c r="E108" s="58">
        <v>500</v>
      </c>
      <c r="F108" s="58"/>
      <c r="G108" s="58">
        <v>109443.17</v>
      </c>
    </row>
    <row r="109" spans="1:7" x14ac:dyDescent="0.2">
      <c r="A109" s="58" t="s">
        <v>396</v>
      </c>
      <c r="B109" s="58" t="s">
        <v>35</v>
      </c>
      <c r="C109" s="58" t="s">
        <v>399</v>
      </c>
      <c r="D109" s="58" t="s">
        <v>396</v>
      </c>
      <c r="E109" s="58">
        <v>171.19</v>
      </c>
      <c r="F109" s="58"/>
      <c r="G109" s="58">
        <v>109271.98</v>
      </c>
    </row>
    <row r="110" spans="1:7" x14ac:dyDescent="0.2">
      <c r="A110" s="58" t="s">
        <v>400</v>
      </c>
      <c r="B110" s="58" t="s">
        <v>35</v>
      </c>
      <c r="C110" s="58" t="s">
        <v>401</v>
      </c>
      <c r="D110" s="58" t="s">
        <v>400</v>
      </c>
      <c r="E110" s="58">
        <v>50</v>
      </c>
      <c r="F110" s="58"/>
      <c r="G110" s="58">
        <v>109221.98</v>
      </c>
    </row>
    <row r="111" spans="1:7" x14ac:dyDescent="0.2">
      <c r="A111" s="58" t="s">
        <v>400</v>
      </c>
      <c r="B111" s="58" t="s">
        <v>36</v>
      </c>
      <c r="C111" s="58" t="s">
        <v>402</v>
      </c>
      <c r="D111" s="58" t="s">
        <v>400</v>
      </c>
      <c r="E111" s="58">
        <v>75</v>
      </c>
      <c r="F111" s="58"/>
      <c r="G111" s="58">
        <v>109146.98</v>
      </c>
    </row>
    <row r="112" spans="1:7" x14ac:dyDescent="0.2">
      <c r="A112" s="58" t="s">
        <v>403</v>
      </c>
      <c r="B112" s="58" t="s">
        <v>35</v>
      </c>
      <c r="C112" s="58" t="s">
        <v>404</v>
      </c>
      <c r="D112" s="58" t="s">
        <v>403</v>
      </c>
      <c r="E112" s="58">
        <v>110.1</v>
      </c>
      <c r="F112" s="58"/>
      <c r="G112" s="58">
        <v>109036.88</v>
      </c>
    </row>
    <row r="113" spans="1:7" x14ac:dyDescent="0.2">
      <c r="A113" s="58" t="s">
        <v>403</v>
      </c>
      <c r="B113" s="58" t="s">
        <v>36</v>
      </c>
      <c r="C113" s="58" t="s">
        <v>405</v>
      </c>
      <c r="D113" s="58" t="s">
        <v>403</v>
      </c>
      <c r="E113" s="58">
        <v>75</v>
      </c>
      <c r="F113" s="58"/>
      <c r="G113" s="58">
        <v>108961.88</v>
      </c>
    </row>
    <row r="114" spans="1:7" x14ac:dyDescent="0.2">
      <c r="A114" s="58" t="s">
        <v>403</v>
      </c>
      <c r="B114" s="58" t="s">
        <v>280</v>
      </c>
      <c r="C114" s="58" t="s">
        <v>406</v>
      </c>
      <c r="D114" s="58" t="s">
        <v>403</v>
      </c>
      <c r="E114" s="58">
        <v>404</v>
      </c>
      <c r="F114" s="58"/>
      <c r="G114" s="58">
        <v>108557.88</v>
      </c>
    </row>
    <row r="115" spans="1:7" x14ac:dyDescent="0.2">
      <c r="A115" s="58" t="s">
        <v>403</v>
      </c>
      <c r="B115" s="58" t="s">
        <v>280</v>
      </c>
      <c r="C115" s="58" t="s">
        <v>407</v>
      </c>
      <c r="D115" s="58" t="s">
        <v>408</v>
      </c>
      <c r="E115" s="58">
        <v>265</v>
      </c>
      <c r="F115" s="58"/>
      <c r="G115" s="58">
        <v>108292.88</v>
      </c>
    </row>
    <row r="116" spans="1:7" x14ac:dyDescent="0.2">
      <c r="A116" s="58" t="s">
        <v>403</v>
      </c>
      <c r="B116" s="58" t="s">
        <v>280</v>
      </c>
      <c r="C116" s="58" t="s">
        <v>409</v>
      </c>
      <c r="D116" s="58" t="s">
        <v>408</v>
      </c>
      <c r="E116" s="58">
        <v>265</v>
      </c>
      <c r="F116" s="58"/>
      <c r="G116" s="58">
        <v>108027.88</v>
      </c>
    </row>
    <row r="117" spans="1:7" x14ac:dyDescent="0.2">
      <c r="A117" s="58" t="s">
        <v>408</v>
      </c>
      <c r="B117" s="58" t="s">
        <v>119</v>
      </c>
      <c r="C117" s="58" t="s">
        <v>410</v>
      </c>
      <c r="D117" s="58" t="s">
        <v>408</v>
      </c>
      <c r="E117" s="58">
        <v>1000</v>
      </c>
      <c r="F117" s="58"/>
      <c r="G117" s="58">
        <v>107027.88</v>
      </c>
    </row>
    <row r="118" spans="1:7" x14ac:dyDescent="0.2">
      <c r="A118" s="58" t="s">
        <v>411</v>
      </c>
      <c r="B118" s="58" t="s">
        <v>35</v>
      </c>
      <c r="C118" s="58" t="s">
        <v>412</v>
      </c>
      <c r="D118" s="58" t="s">
        <v>411</v>
      </c>
      <c r="E118" s="58">
        <v>105.86</v>
      </c>
      <c r="F118" s="58"/>
      <c r="G118" s="58">
        <v>106922.02</v>
      </c>
    </row>
    <row r="119" spans="1:7" x14ac:dyDescent="0.2">
      <c r="A119" s="58" t="s">
        <v>411</v>
      </c>
      <c r="B119" s="58" t="s">
        <v>36</v>
      </c>
      <c r="C119" s="58" t="s">
        <v>413</v>
      </c>
      <c r="D119" s="58" t="s">
        <v>411</v>
      </c>
      <c r="E119" s="58">
        <v>75</v>
      </c>
      <c r="F119" s="58"/>
      <c r="G119" s="58">
        <v>106847.02</v>
      </c>
    </row>
    <row r="120" spans="1:7" x14ac:dyDescent="0.2">
      <c r="A120" s="58" t="s">
        <v>411</v>
      </c>
      <c r="B120" s="58" t="s">
        <v>35</v>
      </c>
      <c r="C120" s="58" t="s">
        <v>414</v>
      </c>
      <c r="D120" s="58" t="s">
        <v>411</v>
      </c>
      <c r="E120" s="58">
        <v>158.44999999999999</v>
      </c>
      <c r="F120" s="58"/>
      <c r="G120" s="58">
        <v>106688.57</v>
      </c>
    </row>
    <row r="121" spans="1:7" x14ac:dyDescent="0.2">
      <c r="A121" s="58" t="s">
        <v>411</v>
      </c>
      <c r="B121" s="58" t="s">
        <v>347</v>
      </c>
      <c r="C121" s="58" t="s">
        <v>415</v>
      </c>
      <c r="D121" s="58" t="s">
        <v>411</v>
      </c>
      <c r="E121" s="58">
        <v>300</v>
      </c>
      <c r="F121" s="58"/>
      <c r="G121" s="58">
        <v>106388.57</v>
      </c>
    </row>
    <row r="122" spans="1:7" x14ac:dyDescent="0.2">
      <c r="A122" s="58" t="s">
        <v>416</v>
      </c>
      <c r="B122" s="58" t="s">
        <v>417</v>
      </c>
      <c r="C122" s="58" t="s">
        <v>418</v>
      </c>
      <c r="D122" s="58" t="s">
        <v>416</v>
      </c>
      <c r="E122" s="58">
        <v>138</v>
      </c>
      <c r="F122" s="58"/>
      <c r="G122" s="58">
        <v>106250.57</v>
      </c>
    </row>
    <row r="123" spans="1:7" x14ac:dyDescent="0.2">
      <c r="A123" s="58" t="s">
        <v>416</v>
      </c>
      <c r="B123" s="58" t="s">
        <v>419</v>
      </c>
      <c r="C123" s="58" t="s">
        <v>420</v>
      </c>
      <c r="D123" s="58" t="s">
        <v>416</v>
      </c>
      <c r="E123" s="58">
        <v>217</v>
      </c>
      <c r="F123" s="58"/>
      <c r="G123" s="58">
        <v>106033.57</v>
      </c>
    </row>
    <row r="124" spans="1:7" x14ac:dyDescent="0.2">
      <c r="A124" s="58" t="s">
        <v>416</v>
      </c>
      <c r="B124" s="58" t="s">
        <v>35</v>
      </c>
      <c r="C124" s="58" t="s">
        <v>421</v>
      </c>
      <c r="D124" s="58" t="s">
        <v>416</v>
      </c>
      <c r="E124" s="58">
        <v>172.23</v>
      </c>
      <c r="F124" s="58"/>
      <c r="G124" s="58">
        <v>105861.34</v>
      </c>
    </row>
    <row r="125" spans="1:7" x14ac:dyDescent="0.2">
      <c r="A125" s="58" t="s">
        <v>422</v>
      </c>
      <c r="B125" s="58" t="s">
        <v>419</v>
      </c>
      <c r="C125" s="58" t="s">
        <v>423</v>
      </c>
      <c r="D125" s="58" t="s">
        <v>422</v>
      </c>
      <c r="E125" s="58">
        <v>446</v>
      </c>
      <c r="F125" s="58"/>
      <c r="G125" s="58">
        <v>105415.34</v>
      </c>
    </row>
    <row r="126" spans="1:7" x14ac:dyDescent="0.2">
      <c r="A126" s="58" t="s">
        <v>422</v>
      </c>
      <c r="B126" s="58" t="s">
        <v>424</v>
      </c>
      <c r="C126" s="58" t="s">
        <v>425</v>
      </c>
      <c r="D126" s="58" t="s">
        <v>422</v>
      </c>
      <c r="E126" s="58">
        <v>173.07</v>
      </c>
      <c r="F126" s="58"/>
      <c r="G126" s="58">
        <v>105242.27</v>
      </c>
    </row>
    <row r="127" spans="1:7" x14ac:dyDescent="0.2">
      <c r="A127" s="58" t="s">
        <v>422</v>
      </c>
      <c r="B127" s="58" t="s">
        <v>167</v>
      </c>
      <c r="C127" s="58" t="s">
        <v>426</v>
      </c>
      <c r="D127" s="58" t="s">
        <v>422</v>
      </c>
      <c r="E127" s="58">
        <v>292</v>
      </c>
      <c r="F127" s="58"/>
      <c r="G127" s="58">
        <v>104950.27</v>
      </c>
    </row>
    <row r="128" spans="1:7" x14ac:dyDescent="0.2">
      <c r="A128" s="58" t="s">
        <v>427</v>
      </c>
      <c r="B128" s="58" t="s">
        <v>36</v>
      </c>
      <c r="C128" s="58" t="s">
        <v>428</v>
      </c>
      <c r="D128" s="58" t="s">
        <v>427</v>
      </c>
      <c r="E128" s="58">
        <v>75</v>
      </c>
      <c r="F128" s="58"/>
      <c r="G128" s="58">
        <v>104875.27</v>
      </c>
    </row>
    <row r="129" spans="1:7" x14ac:dyDescent="0.2">
      <c r="A129" s="58" t="s">
        <v>427</v>
      </c>
      <c r="B129" s="58" t="s">
        <v>429</v>
      </c>
      <c r="C129" s="58" t="s">
        <v>430</v>
      </c>
      <c r="D129" s="58" t="s">
        <v>427</v>
      </c>
      <c r="E129" s="58">
        <v>899</v>
      </c>
      <c r="F129" s="58"/>
      <c r="G129" s="58">
        <v>103976.27</v>
      </c>
    </row>
    <row r="130" spans="1:7" x14ac:dyDescent="0.2">
      <c r="A130" s="58" t="s">
        <v>431</v>
      </c>
      <c r="B130" s="58" t="s">
        <v>432</v>
      </c>
      <c r="C130" s="58" t="s">
        <v>433</v>
      </c>
      <c r="D130" s="58" t="s">
        <v>431</v>
      </c>
      <c r="E130" s="58">
        <v>416</v>
      </c>
      <c r="F130" s="58"/>
      <c r="G130" s="58">
        <v>103560.27</v>
      </c>
    </row>
    <row r="131" spans="1:7" x14ac:dyDescent="0.2">
      <c r="A131" s="58" t="s">
        <v>431</v>
      </c>
      <c r="B131" s="58" t="s">
        <v>159</v>
      </c>
      <c r="C131" s="58" t="s">
        <v>434</v>
      </c>
      <c r="D131" s="58" t="s">
        <v>431</v>
      </c>
      <c r="E131" s="58">
        <v>457.1</v>
      </c>
      <c r="F131" s="58"/>
      <c r="G131" s="58">
        <v>103103.17</v>
      </c>
    </row>
    <row r="132" spans="1:7" x14ac:dyDescent="0.2">
      <c r="A132" s="58" t="s">
        <v>435</v>
      </c>
      <c r="B132" s="58" t="s">
        <v>436</v>
      </c>
      <c r="C132" s="58" t="s">
        <v>437</v>
      </c>
      <c r="D132" s="58" t="s">
        <v>435</v>
      </c>
      <c r="E132" s="58">
        <v>348</v>
      </c>
      <c r="F132" s="58"/>
      <c r="G132" s="58">
        <v>102755.17</v>
      </c>
    </row>
    <row r="133" spans="1:7" x14ac:dyDescent="0.2">
      <c r="A133" s="58" t="s">
        <v>435</v>
      </c>
      <c r="B133" s="58" t="s">
        <v>438</v>
      </c>
      <c r="C133" s="58" t="s">
        <v>439</v>
      </c>
      <c r="D133" s="58" t="s">
        <v>435</v>
      </c>
      <c r="E133" s="58">
        <v>599</v>
      </c>
      <c r="F133" s="58"/>
      <c r="G133" s="58">
        <v>102156.17</v>
      </c>
    </row>
    <row r="134" spans="1:7" x14ac:dyDescent="0.2">
      <c r="A134" s="58" t="s">
        <v>435</v>
      </c>
      <c r="B134" s="58" t="s">
        <v>36</v>
      </c>
      <c r="C134" s="58" t="s">
        <v>440</v>
      </c>
      <c r="D134" s="58" t="s">
        <v>435</v>
      </c>
      <c r="E134" s="58">
        <v>75</v>
      </c>
      <c r="F134" s="58"/>
      <c r="G134" s="58">
        <v>102081.17</v>
      </c>
    </row>
    <row r="135" spans="1:7" x14ac:dyDescent="0.2">
      <c r="A135" s="58" t="s">
        <v>435</v>
      </c>
      <c r="B135" s="58" t="s">
        <v>441</v>
      </c>
      <c r="C135" s="58" t="s">
        <v>442</v>
      </c>
      <c r="D135" s="58" t="s">
        <v>435</v>
      </c>
      <c r="E135" s="58">
        <v>295</v>
      </c>
      <c r="F135" s="58"/>
      <c r="G135" s="58">
        <v>101786.17</v>
      </c>
    </row>
    <row r="136" spans="1:7" x14ac:dyDescent="0.2">
      <c r="A136" s="58" t="s">
        <v>443</v>
      </c>
      <c r="B136" s="58" t="s">
        <v>35</v>
      </c>
      <c r="C136" s="58" t="s">
        <v>444</v>
      </c>
      <c r="D136" s="58" t="s">
        <v>443</v>
      </c>
      <c r="E136" s="58">
        <v>198.36</v>
      </c>
      <c r="F136" s="58"/>
      <c r="G136" s="58">
        <v>101587.81</v>
      </c>
    </row>
    <row r="137" spans="1:7" x14ac:dyDescent="0.2">
      <c r="A137" s="58" t="s">
        <v>443</v>
      </c>
      <c r="B137" s="58" t="s">
        <v>36</v>
      </c>
      <c r="C137" s="58" t="s">
        <v>445</v>
      </c>
      <c r="D137" s="58" t="s">
        <v>443</v>
      </c>
      <c r="E137" s="58">
        <v>75</v>
      </c>
      <c r="F137" s="58"/>
      <c r="G137" s="58">
        <v>101512.81</v>
      </c>
    </row>
    <row r="138" spans="1:7" x14ac:dyDescent="0.2">
      <c r="A138" s="58" t="s">
        <v>443</v>
      </c>
      <c r="B138" s="58" t="s">
        <v>85</v>
      </c>
      <c r="C138" s="58" t="s">
        <v>446</v>
      </c>
      <c r="D138" s="58" t="s">
        <v>443</v>
      </c>
      <c r="E138" s="58">
        <v>5175</v>
      </c>
      <c r="F138" s="58"/>
      <c r="G138" s="58">
        <v>96337.81</v>
      </c>
    </row>
    <row r="139" spans="1:7" x14ac:dyDescent="0.2">
      <c r="A139" s="58" t="s">
        <v>447</v>
      </c>
      <c r="B139" s="58" t="s">
        <v>36</v>
      </c>
      <c r="C139" s="58" t="s">
        <v>448</v>
      </c>
      <c r="D139" s="58" t="s">
        <v>447</v>
      </c>
      <c r="E139" s="58">
        <v>75</v>
      </c>
      <c r="F139" s="58"/>
      <c r="G139" s="58">
        <v>96262.81</v>
      </c>
    </row>
    <row r="140" spans="1:7" x14ac:dyDescent="0.2">
      <c r="A140" s="58" t="s">
        <v>447</v>
      </c>
      <c r="B140" s="58" t="s">
        <v>35</v>
      </c>
      <c r="C140" s="58" t="s">
        <v>449</v>
      </c>
      <c r="D140" s="58" t="s">
        <v>447</v>
      </c>
      <c r="E140" s="58">
        <v>163.37</v>
      </c>
      <c r="F140" s="58"/>
      <c r="G140" s="58">
        <v>96099.44</v>
      </c>
    </row>
    <row r="141" spans="1:7" x14ac:dyDescent="0.2">
      <c r="A141" s="58" t="s">
        <v>450</v>
      </c>
      <c r="B141" s="58" t="s">
        <v>35</v>
      </c>
      <c r="C141" s="58" t="s">
        <v>451</v>
      </c>
      <c r="D141" s="58" t="s">
        <v>450</v>
      </c>
      <c r="E141" s="58">
        <v>99.72</v>
      </c>
      <c r="F141" s="58"/>
      <c r="G141" s="58">
        <v>95999.72</v>
      </c>
    </row>
    <row r="142" spans="1:7" x14ac:dyDescent="0.2">
      <c r="A142" s="58" t="s">
        <v>450</v>
      </c>
      <c r="B142" s="58" t="s">
        <v>419</v>
      </c>
      <c r="C142" s="58" t="s">
        <v>452</v>
      </c>
      <c r="D142" s="58" t="s">
        <v>450</v>
      </c>
      <c r="E142" s="58">
        <v>292</v>
      </c>
      <c r="F142" s="58"/>
      <c r="G142" s="58">
        <v>95707.72</v>
      </c>
    </row>
    <row r="143" spans="1:7" x14ac:dyDescent="0.2">
      <c r="A143" s="58" t="s">
        <v>450</v>
      </c>
      <c r="B143" s="58" t="s">
        <v>65</v>
      </c>
      <c r="C143" s="58" t="s">
        <v>453</v>
      </c>
      <c r="D143" s="58" t="s">
        <v>450</v>
      </c>
      <c r="E143" s="58">
        <v>380.15</v>
      </c>
      <c r="F143" s="58"/>
      <c r="G143" s="58">
        <v>95327.57</v>
      </c>
    </row>
    <row r="144" spans="1:7" x14ac:dyDescent="0.2">
      <c r="A144" s="58" t="s">
        <v>450</v>
      </c>
      <c r="B144" s="58" t="s">
        <v>35</v>
      </c>
      <c r="C144" s="58" t="s">
        <v>454</v>
      </c>
      <c r="D144" s="58" t="s">
        <v>450</v>
      </c>
      <c r="E144" s="58">
        <v>166.13</v>
      </c>
      <c r="F144" s="58"/>
      <c r="G144" s="58">
        <v>95161.44</v>
      </c>
    </row>
    <row r="145" spans="1:7" x14ac:dyDescent="0.2">
      <c r="A145" s="58" t="s">
        <v>450</v>
      </c>
      <c r="B145" s="58" t="s">
        <v>92</v>
      </c>
      <c r="C145" s="58" t="s">
        <v>455</v>
      </c>
      <c r="D145" s="58" t="s">
        <v>450</v>
      </c>
      <c r="E145" s="58">
        <v>1541</v>
      </c>
      <c r="F145" s="58"/>
      <c r="G145" s="58">
        <v>93620.44</v>
      </c>
    </row>
    <row r="146" spans="1:7" x14ac:dyDescent="0.2">
      <c r="A146" s="58" t="s">
        <v>456</v>
      </c>
      <c r="B146" s="58" t="s">
        <v>347</v>
      </c>
      <c r="C146" s="58" t="s">
        <v>457</v>
      </c>
      <c r="D146" s="58" t="s">
        <v>456</v>
      </c>
      <c r="E146" s="58">
        <v>200</v>
      </c>
      <c r="F146" s="58"/>
      <c r="G146" s="58">
        <v>93420.44</v>
      </c>
    </row>
    <row r="147" spans="1:7" x14ac:dyDescent="0.2">
      <c r="A147" s="58" t="s">
        <v>456</v>
      </c>
      <c r="B147" s="58" t="s">
        <v>458</v>
      </c>
      <c r="C147" s="58" t="s">
        <v>459</v>
      </c>
      <c r="D147" s="58" t="s">
        <v>456</v>
      </c>
      <c r="E147" s="58">
        <v>10000</v>
      </c>
      <c r="F147" s="58"/>
      <c r="G147" s="58">
        <v>83420.44</v>
      </c>
    </row>
    <row r="148" spans="1:7" x14ac:dyDescent="0.2">
      <c r="A148" s="58" t="s">
        <v>460</v>
      </c>
      <c r="B148" s="58" t="s">
        <v>36</v>
      </c>
      <c r="C148" s="58" t="s">
        <v>461</v>
      </c>
      <c r="D148" s="58" t="s">
        <v>460</v>
      </c>
      <c r="E148" s="58">
        <v>75</v>
      </c>
      <c r="F148" s="58"/>
      <c r="G148" s="58">
        <v>83345.440000000002</v>
      </c>
    </row>
    <row r="149" spans="1:7" x14ac:dyDescent="0.2">
      <c r="A149" s="58" t="s">
        <v>460</v>
      </c>
      <c r="B149" s="58" t="s">
        <v>159</v>
      </c>
      <c r="C149" s="58" t="s">
        <v>462</v>
      </c>
      <c r="D149" s="58" t="s">
        <v>460</v>
      </c>
      <c r="E149" s="58">
        <v>189</v>
      </c>
      <c r="F149" s="58"/>
      <c r="G149" s="58">
        <v>83156.44</v>
      </c>
    </row>
    <row r="150" spans="1:7" x14ac:dyDescent="0.2">
      <c r="A150" s="58" t="s">
        <v>463</v>
      </c>
      <c r="B150" s="58" t="s">
        <v>35</v>
      </c>
      <c r="C150" s="58" t="s">
        <v>464</v>
      </c>
      <c r="D150" s="58" t="s">
        <v>463</v>
      </c>
      <c r="E150" s="58">
        <v>207.18</v>
      </c>
      <c r="F150" s="58"/>
      <c r="G150" s="58">
        <v>82949.259999999995</v>
      </c>
    </row>
    <row r="151" spans="1:7" x14ac:dyDescent="0.2">
      <c r="A151" s="58" t="s">
        <v>463</v>
      </c>
      <c r="B151" s="58" t="s">
        <v>35</v>
      </c>
      <c r="C151" s="58" t="s">
        <v>465</v>
      </c>
      <c r="D151" s="58" t="s">
        <v>463</v>
      </c>
      <c r="E151" s="58">
        <v>110.6</v>
      </c>
      <c r="F151" s="58"/>
      <c r="G151" s="58">
        <v>82838.66</v>
      </c>
    </row>
    <row r="152" spans="1:7" x14ac:dyDescent="0.2">
      <c r="A152" s="58" t="s">
        <v>463</v>
      </c>
      <c r="B152" s="58" t="s">
        <v>35</v>
      </c>
      <c r="C152" s="58" t="s">
        <v>466</v>
      </c>
      <c r="D152" s="58" t="s">
        <v>463</v>
      </c>
      <c r="E152" s="58">
        <v>182.35</v>
      </c>
      <c r="F152" s="58"/>
      <c r="G152" s="58">
        <v>82656.31</v>
      </c>
    </row>
    <row r="153" spans="1:7" x14ac:dyDescent="0.2">
      <c r="A153" s="58" t="s">
        <v>463</v>
      </c>
      <c r="B153" s="58" t="s">
        <v>36</v>
      </c>
      <c r="C153" s="58" t="s">
        <v>467</v>
      </c>
      <c r="D153" s="58" t="s">
        <v>463</v>
      </c>
      <c r="E153" s="58">
        <v>75</v>
      </c>
      <c r="F153" s="58"/>
      <c r="G153" s="58">
        <v>82581.31</v>
      </c>
    </row>
    <row r="154" spans="1:7" x14ac:dyDescent="0.2">
      <c r="A154" s="58" t="s">
        <v>468</v>
      </c>
      <c r="B154" s="58" t="s">
        <v>35</v>
      </c>
      <c r="C154" s="58" t="s">
        <v>469</v>
      </c>
      <c r="D154" s="58" t="s">
        <v>468</v>
      </c>
      <c r="E154" s="58">
        <v>170.46</v>
      </c>
      <c r="F154" s="58"/>
      <c r="G154" s="58">
        <v>82410.850000000006</v>
      </c>
    </row>
    <row r="155" spans="1:7" x14ac:dyDescent="0.2">
      <c r="A155" s="58" t="s">
        <v>468</v>
      </c>
      <c r="B155" s="58" t="s">
        <v>36</v>
      </c>
      <c r="C155" s="58" t="s">
        <v>470</v>
      </c>
      <c r="D155" s="58" t="s">
        <v>468</v>
      </c>
      <c r="E155" s="58">
        <v>75</v>
      </c>
      <c r="F155" s="58"/>
      <c r="G155" s="58">
        <v>82335.850000000006</v>
      </c>
    </row>
    <row r="156" spans="1:7" x14ac:dyDescent="0.2">
      <c r="A156" s="58" t="s">
        <v>37</v>
      </c>
      <c r="B156" s="58" t="s">
        <v>35</v>
      </c>
      <c r="C156" s="58" t="s">
        <v>471</v>
      </c>
      <c r="D156" s="58" t="s">
        <v>37</v>
      </c>
      <c r="E156" s="58">
        <v>163.38999999999999</v>
      </c>
      <c r="F156" s="58"/>
      <c r="G156" s="58">
        <v>82172.460000000006</v>
      </c>
    </row>
    <row r="157" spans="1:7" x14ac:dyDescent="0.2">
      <c r="A157" s="58" t="s">
        <v>37</v>
      </c>
      <c r="B157" s="58" t="s">
        <v>36</v>
      </c>
      <c r="C157" s="58" t="s">
        <v>472</v>
      </c>
      <c r="D157" s="58" t="s">
        <v>37</v>
      </c>
      <c r="E157" s="58">
        <v>75</v>
      </c>
      <c r="F157" s="58"/>
      <c r="G157" s="58">
        <v>82097.460000000006</v>
      </c>
    </row>
    <row r="158" spans="1:7" x14ac:dyDescent="0.2">
      <c r="A158" s="58" t="s">
        <v>37</v>
      </c>
      <c r="B158" s="58" t="s">
        <v>473</v>
      </c>
      <c r="C158" s="58" t="s">
        <v>474</v>
      </c>
      <c r="D158" s="58" t="s">
        <v>37</v>
      </c>
      <c r="E158" s="58">
        <v>2000</v>
      </c>
      <c r="F158" s="58"/>
      <c r="G158" s="58">
        <v>80097.460000000006</v>
      </c>
    </row>
    <row r="159" spans="1:7" x14ac:dyDescent="0.2">
      <c r="A159" s="58" t="s">
        <v>37</v>
      </c>
      <c r="B159" s="58" t="s">
        <v>475</v>
      </c>
      <c r="C159" s="58" t="s">
        <v>476</v>
      </c>
      <c r="D159" s="58" t="s">
        <v>37</v>
      </c>
      <c r="E159" s="58">
        <v>8000</v>
      </c>
      <c r="F159" s="58"/>
      <c r="G159" s="58">
        <v>72097.460000000006</v>
      </c>
    </row>
    <row r="160" spans="1:7" x14ac:dyDescent="0.2">
      <c r="A160" s="58" t="s">
        <v>37</v>
      </c>
      <c r="B160" s="58" t="s">
        <v>38</v>
      </c>
      <c r="C160" s="58" t="s">
        <v>39</v>
      </c>
      <c r="D160" s="58" t="s">
        <v>37</v>
      </c>
      <c r="E160" s="58"/>
      <c r="F160" s="58">
        <v>111298</v>
      </c>
      <c r="G160" s="58">
        <v>183395.46</v>
      </c>
    </row>
    <row r="161" spans="1:7" x14ac:dyDescent="0.2">
      <c r="A161" s="58" t="s">
        <v>37</v>
      </c>
      <c r="B161" s="58" t="s">
        <v>35</v>
      </c>
      <c r="C161" s="58" t="s">
        <v>40</v>
      </c>
      <c r="D161" s="58" t="s">
        <v>37</v>
      </c>
      <c r="E161" s="58">
        <v>91.14</v>
      </c>
      <c r="F161" s="58"/>
      <c r="G161" s="58">
        <v>183304.32000000001</v>
      </c>
    </row>
    <row r="162" spans="1:7" x14ac:dyDescent="0.2">
      <c r="A162" s="58" t="s">
        <v>41</v>
      </c>
      <c r="B162" s="58" t="s">
        <v>35</v>
      </c>
      <c r="C162" s="58" t="s">
        <v>42</v>
      </c>
      <c r="D162" s="58" t="s">
        <v>41</v>
      </c>
      <c r="E162" s="58">
        <v>166.26</v>
      </c>
      <c r="F162" s="58"/>
      <c r="G162" s="58">
        <v>183138.06</v>
      </c>
    </row>
    <row r="163" spans="1:7" x14ac:dyDescent="0.2">
      <c r="A163" s="58" t="s">
        <v>41</v>
      </c>
      <c r="B163" s="58" t="s">
        <v>36</v>
      </c>
      <c r="C163" s="58" t="s">
        <v>43</v>
      </c>
      <c r="D163" s="58" t="s">
        <v>41</v>
      </c>
      <c r="E163" s="58">
        <v>75</v>
      </c>
      <c r="F163" s="58"/>
      <c r="G163" s="58">
        <v>183063.06</v>
      </c>
    </row>
    <row r="164" spans="1:7" x14ac:dyDescent="0.2">
      <c r="A164" s="58" t="s">
        <v>41</v>
      </c>
      <c r="B164" s="58" t="s">
        <v>35</v>
      </c>
      <c r="C164" s="58" t="s">
        <v>44</v>
      </c>
      <c r="D164" s="58" t="s">
        <v>41</v>
      </c>
      <c r="E164" s="58">
        <v>168.13</v>
      </c>
      <c r="F164" s="58"/>
      <c r="G164" s="58">
        <v>182894.93</v>
      </c>
    </row>
    <row r="165" spans="1:7" x14ac:dyDescent="0.2">
      <c r="A165" s="58" t="s">
        <v>41</v>
      </c>
      <c r="B165" s="58" t="s">
        <v>45</v>
      </c>
      <c r="C165" s="58" t="s">
        <v>46</v>
      </c>
      <c r="D165" s="58" t="s">
        <v>41</v>
      </c>
      <c r="E165" s="58">
        <v>50084.67</v>
      </c>
      <c r="F165" s="58"/>
      <c r="G165" s="58">
        <v>132810.26</v>
      </c>
    </row>
    <row r="166" spans="1:7" x14ac:dyDescent="0.2">
      <c r="A166" s="58" t="s">
        <v>41</v>
      </c>
      <c r="B166" s="58" t="s">
        <v>47</v>
      </c>
      <c r="C166" s="58" t="s">
        <v>48</v>
      </c>
      <c r="D166" s="58" t="s">
        <v>41</v>
      </c>
      <c r="E166" s="58">
        <v>1180</v>
      </c>
      <c r="F166" s="58"/>
      <c r="G166" s="58">
        <v>131630.26</v>
      </c>
    </row>
    <row r="167" spans="1:7" x14ac:dyDescent="0.2">
      <c r="A167" s="58" t="s">
        <v>49</v>
      </c>
      <c r="B167" s="58" t="s">
        <v>50</v>
      </c>
      <c r="C167" s="58" t="s">
        <v>51</v>
      </c>
      <c r="D167" s="58" t="s">
        <v>49</v>
      </c>
      <c r="E167" s="58">
        <v>280</v>
      </c>
      <c r="F167" s="58"/>
      <c r="G167" s="58">
        <v>131350.26</v>
      </c>
    </row>
    <row r="168" spans="1:7" x14ac:dyDescent="0.2">
      <c r="A168" s="58" t="s">
        <v>49</v>
      </c>
      <c r="B168" s="58" t="s">
        <v>52</v>
      </c>
      <c r="C168" s="58" t="s">
        <v>53</v>
      </c>
      <c r="D168" s="58" t="s">
        <v>49</v>
      </c>
      <c r="E168" s="58">
        <v>258</v>
      </c>
      <c r="F168" s="58"/>
      <c r="G168" s="58">
        <v>131092.26</v>
      </c>
    </row>
    <row r="169" spans="1:7" x14ac:dyDescent="0.2">
      <c r="A169" s="58" t="s">
        <v>49</v>
      </c>
      <c r="B169" s="58" t="s">
        <v>54</v>
      </c>
      <c r="C169" s="58" t="s">
        <v>55</v>
      </c>
      <c r="D169" s="58" t="s">
        <v>49</v>
      </c>
      <c r="E169" s="58">
        <v>133</v>
      </c>
      <c r="F169" s="58"/>
      <c r="G169" s="58">
        <v>130959.26</v>
      </c>
    </row>
    <row r="170" spans="1:7" x14ac:dyDescent="0.2">
      <c r="A170" s="58" t="s">
        <v>49</v>
      </c>
      <c r="B170" s="58" t="s">
        <v>56</v>
      </c>
      <c r="C170" s="58" t="s">
        <v>57</v>
      </c>
      <c r="D170" s="58" t="s">
        <v>49</v>
      </c>
      <c r="E170" s="58">
        <v>10000</v>
      </c>
      <c r="F170" s="58"/>
      <c r="G170" s="58">
        <v>120959.26</v>
      </c>
    </row>
    <row r="171" spans="1:7" x14ac:dyDescent="0.2">
      <c r="A171" s="58" t="s">
        <v>49</v>
      </c>
      <c r="B171" s="58" t="s">
        <v>58</v>
      </c>
      <c r="C171" s="58" t="s">
        <v>59</v>
      </c>
      <c r="D171" s="58" t="s">
        <v>49</v>
      </c>
      <c r="E171" s="58">
        <v>1300</v>
      </c>
      <c r="F171" s="58"/>
      <c r="G171" s="58">
        <v>119659.26</v>
      </c>
    </row>
    <row r="172" spans="1:7" x14ac:dyDescent="0.2">
      <c r="A172" s="58" t="s">
        <v>60</v>
      </c>
      <c r="B172" s="58" t="s">
        <v>35</v>
      </c>
      <c r="C172" s="58" t="s">
        <v>61</v>
      </c>
      <c r="D172" s="58" t="s">
        <v>60</v>
      </c>
      <c r="E172" s="58">
        <v>130.4</v>
      </c>
      <c r="F172" s="58"/>
      <c r="G172" s="58">
        <v>119528.86</v>
      </c>
    </row>
    <row r="173" spans="1:7" x14ac:dyDescent="0.2">
      <c r="A173" s="58" t="s">
        <v>60</v>
      </c>
      <c r="B173" s="58" t="s">
        <v>54</v>
      </c>
      <c r="C173" s="58" t="s">
        <v>62</v>
      </c>
      <c r="D173" s="58" t="s">
        <v>60</v>
      </c>
      <c r="E173" s="58">
        <v>140</v>
      </c>
      <c r="F173" s="58"/>
      <c r="G173" s="58">
        <v>119388.86</v>
      </c>
    </row>
    <row r="174" spans="1:7" x14ac:dyDescent="0.2">
      <c r="A174" s="58" t="s">
        <v>60</v>
      </c>
      <c r="B174" s="58" t="s">
        <v>63</v>
      </c>
      <c r="C174" s="58" t="s">
        <v>64</v>
      </c>
      <c r="D174" s="58" t="s">
        <v>60</v>
      </c>
      <c r="E174" s="58">
        <v>7600</v>
      </c>
      <c r="F174" s="58"/>
      <c r="G174" s="58">
        <v>111788.86</v>
      </c>
    </row>
    <row r="175" spans="1:7" x14ac:dyDescent="0.2">
      <c r="A175" s="58" t="s">
        <v>60</v>
      </c>
      <c r="B175" s="58" t="s">
        <v>65</v>
      </c>
      <c r="C175" s="58" t="s">
        <v>66</v>
      </c>
      <c r="D175" s="58" t="s">
        <v>60</v>
      </c>
      <c r="E175" s="58">
        <v>380.15</v>
      </c>
      <c r="F175" s="58"/>
      <c r="G175" s="58">
        <v>111408.71</v>
      </c>
    </row>
    <row r="176" spans="1:7" x14ac:dyDescent="0.2">
      <c r="A176" s="58" t="s">
        <v>60</v>
      </c>
      <c r="B176" s="58" t="s">
        <v>35</v>
      </c>
      <c r="C176" s="58" t="s">
        <v>67</v>
      </c>
      <c r="D176" s="58" t="s">
        <v>60</v>
      </c>
      <c r="E176" s="58">
        <v>175.88</v>
      </c>
      <c r="F176" s="58"/>
      <c r="G176" s="58">
        <v>111232.83</v>
      </c>
    </row>
    <row r="177" spans="1:7" x14ac:dyDescent="0.2">
      <c r="A177" s="58" t="s">
        <v>68</v>
      </c>
      <c r="B177" s="58" t="s">
        <v>36</v>
      </c>
      <c r="C177" s="58" t="s">
        <v>69</v>
      </c>
      <c r="D177" s="58" t="s">
        <v>68</v>
      </c>
      <c r="E177" s="58">
        <v>75</v>
      </c>
      <c r="F177" s="58"/>
      <c r="G177" s="58">
        <v>111157.83</v>
      </c>
    </row>
    <row r="178" spans="1:7" x14ac:dyDescent="0.2">
      <c r="A178" s="58" t="s">
        <v>68</v>
      </c>
      <c r="B178" s="58" t="s">
        <v>70</v>
      </c>
      <c r="C178" s="58" t="s">
        <v>46</v>
      </c>
      <c r="D178" s="58" t="s">
        <v>68</v>
      </c>
      <c r="E178" s="58">
        <v>209.14</v>
      </c>
      <c r="F178" s="58"/>
      <c r="G178" s="58">
        <v>110948.69</v>
      </c>
    </row>
    <row r="179" spans="1:7" x14ac:dyDescent="0.2">
      <c r="A179" s="58" t="s">
        <v>68</v>
      </c>
      <c r="B179" s="58" t="s">
        <v>35</v>
      </c>
      <c r="C179" s="58" t="s">
        <v>71</v>
      </c>
      <c r="D179" s="58" t="s">
        <v>68</v>
      </c>
      <c r="E179" s="58">
        <v>198.6</v>
      </c>
      <c r="F179" s="58"/>
      <c r="G179" s="58">
        <v>110750.09</v>
      </c>
    </row>
    <row r="180" spans="1:7" x14ac:dyDescent="0.2">
      <c r="A180" s="58" t="s">
        <v>72</v>
      </c>
      <c r="B180" s="58" t="s">
        <v>35</v>
      </c>
      <c r="C180" s="58" t="s">
        <v>73</v>
      </c>
      <c r="D180" s="58" t="s">
        <v>72</v>
      </c>
      <c r="E180" s="58">
        <v>169.51</v>
      </c>
      <c r="F180" s="58"/>
      <c r="G180" s="58">
        <v>110580.58</v>
      </c>
    </row>
    <row r="181" spans="1:7" x14ac:dyDescent="0.2">
      <c r="A181" s="58" t="s">
        <v>72</v>
      </c>
      <c r="B181" s="58" t="s">
        <v>36</v>
      </c>
      <c r="C181" s="58" t="s">
        <v>74</v>
      </c>
      <c r="D181" s="58" t="s">
        <v>72</v>
      </c>
      <c r="E181" s="58">
        <v>75</v>
      </c>
      <c r="F181" s="58"/>
      <c r="G181" s="58">
        <v>110505.58</v>
      </c>
    </row>
    <row r="182" spans="1:7" x14ac:dyDescent="0.2">
      <c r="A182" s="58" t="s">
        <v>75</v>
      </c>
      <c r="B182" s="58" t="s">
        <v>35</v>
      </c>
      <c r="C182" s="58" t="s">
        <v>76</v>
      </c>
      <c r="D182" s="58" t="s">
        <v>75</v>
      </c>
      <c r="E182" s="58">
        <v>88.09</v>
      </c>
      <c r="F182" s="58"/>
      <c r="G182" s="58">
        <v>110417.49</v>
      </c>
    </row>
    <row r="183" spans="1:7" x14ac:dyDescent="0.2">
      <c r="A183" s="58" t="s">
        <v>75</v>
      </c>
      <c r="B183" s="58" t="s">
        <v>36</v>
      </c>
      <c r="C183" s="58" t="s">
        <v>77</v>
      </c>
      <c r="D183" s="58" t="s">
        <v>75</v>
      </c>
      <c r="E183" s="58">
        <v>75</v>
      </c>
      <c r="F183" s="58"/>
      <c r="G183" s="58">
        <v>110342.49</v>
      </c>
    </row>
    <row r="184" spans="1:7" x14ac:dyDescent="0.2">
      <c r="A184" s="58" t="s">
        <v>75</v>
      </c>
      <c r="B184" s="58" t="s">
        <v>35</v>
      </c>
      <c r="C184" s="58" t="s">
        <v>78</v>
      </c>
      <c r="D184" s="58" t="s">
        <v>75</v>
      </c>
      <c r="E184" s="58">
        <v>166.3</v>
      </c>
      <c r="F184" s="58"/>
      <c r="G184" s="58">
        <v>110176.19</v>
      </c>
    </row>
    <row r="185" spans="1:7" x14ac:dyDescent="0.2">
      <c r="A185" s="58" t="s">
        <v>75</v>
      </c>
      <c r="B185" s="58" t="s">
        <v>52</v>
      </c>
      <c r="C185" s="58" t="s">
        <v>79</v>
      </c>
      <c r="D185" s="58" t="s">
        <v>75</v>
      </c>
      <c r="E185" s="58">
        <v>271</v>
      </c>
      <c r="F185" s="58"/>
      <c r="G185" s="58">
        <v>109905.19</v>
      </c>
    </row>
    <row r="186" spans="1:7" x14ac:dyDescent="0.2">
      <c r="A186" s="58" t="s">
        <v>80</v>
      </c>
      <c r="B186" s="58" t="s">
        <v>35</v>
      </c>
      <c r="C186" s="58" t="s">
        <v>81</v>
      </c>
      <c r="D186" s="58" t="s">
        <v>80</v>
      </c>
      <c r="E186" s="58">
        <v>166.43</v>
      </c>
      <c r="F186" s="58"/>
      <c r="G186" s="58">
        <v>109738.76</v>
      </c>
    </row>
    <row r="187" spans="1:7" x14ac:dyDescent="0.2">
      <c r="A187" s="58" t="s">
        <v>80</v>
      </c>
      <c r="B187" s="58" t="s">
        <v>36</v>
      </c>
      <c r="C187" s="58" t="s">
        <v>82</v>
      </c>
      <c r="D187" s="58" t="s">
        <v>80</v>
      </c>
      <c r="E187" s="58">
        <v>75</v>
      </c>
      <c r="F187" s="58"/>
      <c r="G187" s="58">
        <v>109663.76</v>
      </c>
    </row>
    <row r="188" spans="1:7" x14ac:dyDescent="0.2">
      <c r="A188" s="58" t="s">
        <v>80</v>
      </c>
      <c r="B188" s="58" t="s">
        <v>83</v>
      </c>
      <c r="C188" s="58" t="s">
        <v>84</v>
      </c>
      <c r="D188" s="58" t="s">
        <v>80</v>
      </c>
      <c r="E188" s="58">
        <v>2500</v>
      </c>
      <c r="F188" s="58"/>
      <c r="G188" s="58">
        <v>107163.76</v>
      </c>
    </row>
    <row r="189" spans="1:7" x14ac:dyDescent="0.2">
      <c r="A189" s="58" t="s">
        <v>80</v>
      </c>
      <c r="B189" s="58" t="s">
        <v>85</v>
      </c>
      <c r="C189" s="58" t="s">
        <v>86</v>
      </c>
      <c r="D189" s="58" t="s">
        <v>80</v>
      </c>
      <c r="E189" s="58">
        <v>172</v>
      </c>
      <c r="F189" s="58"/>
      <c r="G189" s="58">
        <v>106991.76</v>
      </c>
    </row>
    <row r="190" spans="1:7" x14ac:dyDescent="0.2">
      <c r="A190" s="58" t="s">
        <v>80</v>
      </c>
      <c r="B190" s="58" t="s">
        <v>35</v>
      </c>
      <c r="C190" s="58" t="s">
        <v>87</v>
      </c>
      <c r="D190" s="58" t="s">
        <v>80</v>
      </c>
      <c r="E190" s="58">
        <v>161.71</v>
      </c>
      <c r="F190" s="58"/>
      <c r="G190" s="58">
        <v>106830.05</v>
      </c>
    </row>
    <row r="191" spans="1:7" x14ac:dyDescent="0.2">
      <c r="A191" s="58" t="s">
        <v>88</v>
      </c>
      <c r="B191" s="58" t="s">
        <v>89</v>
      </c>
      <c r="C191" s="58" t="s">
        <v>90</v>
      </c>
      <c r="D191" s="58" t="s">
        <v>88</v>
      </c>
      <c r="E191" s="58">
        <v>599</v>
      </c>
      <c r="F191" s="58"/>
      <c r="G191" s="58">
        <v>106231.05</v>
      </c>
    </row>
    <row r="192" spans="1:7" x14ac:dyDescent="0.2">
      <c r="A192" s="58" t="s">
        <v>88</v>
      </c>
      <c r="B192" s="58" t="s">
        <v>36</v>
      </c>
      <c r="C192" s="58" t="s">
        <v>91</v>
      </c>
      <c r="D192" s="58" t="s">
        <v>88</v>
      </c>
      <c r="E192" s="58">
        <v>75</v>
      </c>
      <c r="F192" s="58"/>
      <c r="G192" s="58">
        <v>106156.05</v>
      </c>
    </row>
    <row r="193" spans="1:7" x14ac:dyDescent="0.2">
      <c r="A193" s="58" t="s">
        <v>88</v>
      </c>
      <c r="B193" s="58" t="s">
        <v>92</v>
      </c>
      <c r="C193" s="58" t="s">
        <v>93</v>
      </c>
      <c r="D193" s="58" t="s">
        <v>88</v>
      </c>
      <c r="E193" s="58">
        <v>1625</v>
      </c>
      <c r="F193" s="58"/>
      <c r="G193" s="58">
        <v>104531.05</v>
      </c>
    </row>
    <row r="194" spans="1:7" x14ac:dyDescent="0.2">
      <c r="A194" s="58" t="s">
        <v>94</v>
      </c>
      <c r="B194" s="58" t="s">
        <v>35</v>
      </c>
      <c r="C194" s="58" t="s">
        <v>95</v>
      </c>
      <c r="D194" s="58" t="s">
        <v>94</v>
      </c>
      <c r="E194" s="58">
        <v>149.94</v>
      </c>
      <c r="F194" s="58"/>
      <c r="G194" s="58">
        <v>104381.11</v>
      </c>
    </row>
    <row r="195" spans="1:7" x14ac:dyDescent="0.2">
      <c r="A195" s="58" t="s">
        <v>94</v>
      </c>
      <c r="B195" s="58" t="s">
        <v>96</v>
      </c>
      <c r="C195" s="58" t="s">
        <v>97</v>
      </c>
      <c r="D195" s="58" t="s">
        <v>94</v>
      </c>
      <c r="E195" s="58">
        <v>174</v>
      </c>
      <c r="F195" s="58"/>
      <c r="G195" s="58">
        <v>104207.11</v>
      </c>
    </row>
    <row r="196" spans="1:7" x14ac:dyDescent="0.2">
      <c r="A196" s="58" t="s">
        <v>94</v>
      </c>
      <c r="B196" s="58" t="s">
        <v>96</v>
      </c>
      <c r="C196" s="58" t="s">
        <v>98</v>
      </c>
      <c r="D196" s="58" t="s">
        <v>94</v>
      </c>
      <c r="E196" s="58">
        <v>278</v>
      </c>
      <c r="F196" s="58"/>
      <c r="G196" s="58">
        <v>103929.11</v>
      </c>
    </row>
    <row r="197" spans="1:7" x14ac:dyDescent="0.2">
      <c r="A197" s="58" t="s">
        <v>94</v>
      </c>
      <c r="B197" s="58" t="s">
        <v>99</v>
      </c>
      <c r="C197" s="58" t="s">
        <v>100</v>
      </c>
      <c r="D197" s="58" t="s">
        <v>94</v>
      </c>
      <c r="E197" s="58">
        <v>3000</v>
      </c>
      <c r="F197" s="58"/>
      <c r="G197" s="58">
        <v>100929.11</v>
      </c>
    </row>
    <row r="198" spans="1:7" x14ac:dyDescent="0.2">
      <c r="A198" s="58" t="s">
        <v>94</v>
      </c>
      <c r="B198" s="58" t="s">
        <v>101</v>
      </c>
      <c r="C198" s="58" t="s">
        <v>102</v>
      </c>
      <c r="D198" s="58" t="s">
        <v>94</v>
      </c>
      <c r="E198" s="58">
        <v>630</v>
      </c>
      <c r="F198" s="58"/>
      <c r="G198" s="58">
        <v>100299.11</v>
      </c>
    </row>
    <row r="199" spans="1:7" x14ac:dyDescent="0.2">
      <c r="A199" s="58" t="s">
        <v>103</v>
      </c>
      <c r="B199" s="58" t="s">
        <v>47</v>
      </c>
      <c r="C199" s="58" t="s">
        <v>104</v>
      </c>
      <c r="D199" s="58" t="s">
        <v>103</v>
      </c>
      <c r="E199" s="58">
        <v>1180</v>
      </c>
      <c r="F199" s="58"/>
      <c r="G199" s="58">
        <v>99119.11</v>
      </c>
    </row>
    <row r="200" spans="1:7" x14ac:dyDescent="0.2">
      <c r="A200" s="58" t="s">
        <v>103</v>
      </c>
      <c r="B200" s="58" t="s">
        <v>105</v>
      </c>
      <c r="C200" s="58" t="s">
        <v>106</v>
      </c>
      <c r="D200" s="58" t="s">
        <v>107</v>
      </c>
      <c r="E200" s="58">
        <v>352</v>
      </c>
      <c r="F200" s="58"/>
      <c r="G200" s="58">
        <v>98767.11</v>
      </c>
    </row>
    <row r="201" spans="1:7" x14ac:dyDescent="0.2">
      <c r="A201" s="58" t="s">
        <v>107</v>
      </c>
      <c r="B201" s="58" t="s">
        <v>54</v>
      </c>
      <c r="C201" s="58" t="s">
        <v>108</v>
      </c>
      <c r="D201" s="58" t="s">
        <v>107</v>
      </c>
      <c r="E201" s="58">
        <v>133</v>
      </c>
      <c r="F201" s="58"/>
      <c r="G201" s="58">
        <v>98634.11</v>
      </c>
    </row>
    <row r="202" spans="1:7" x14ac:dyDescent="0.2">
      <c r="A202" s="58" t="s">
        <v>109</v>
      </c>
      <c r="B202" s="58" t="s">
        <v>35</v>
      </c>
      <c r="C202" s="58" t="s">
        <v>110</v>
      </c>
      <c r="D202" s="58" t="s">
        <v>109</v>
      </c>
      <c r="E202" s="58">
        <v>120.44</v>
      </c>
      <c r="F202" s="58"/>
      <c r="G202" s="58">
        <v>98513.67</v>
      </c>
    </row>
    <row r="203" spans="1:7" x14ac:dyDescent="0.2">
      <c r="A203" s="58" t="s">
        <v>109</v>
      </c>
      <c r="B203" s="58" t="s">
        <v>36</v>
      </c>
      <c r="C203" s="58" t="s">
        <v>111</v>
      </c>
      <c r="D203" s="58" t="s">
        <v>109</v>
      </c>
      <c r="E203" s="58">
        <v>125</v>
      </c>
      <c r="F203" s="58"/>
      <c r="G203" s="58">
        <v>98388.67</v>
      </c>
    </row>
    <row r="204" spans="1:7" x14ac:dyDescent="0.2">
      <c r="A204" s="58" t="s">
        <v>109</v>
      </c>
      <c r="B204" s="58" t="s">
        <v>52</v>
      </c>
      <c r="C204" s="58" t="s">
        <v>112</v>
      </c>
      <c r="D204" s="58" t="s">
        <v>109</v>
      </c>
      <c r="E204" s="58">
        <v>278</v>
      </c>
      <c r="F204" s="58"/>
      <c r="G204" s="58">
        <v>98110.67</v>
      </c>
    </row>
    <row r="205" spans="1:7" x14ac:dyDescent="0.2">
      <c r="A205" s="58" t="s">
        <v>113</v>
      </c>
      <c r="B205" s="58" t="s">
        <v>35</v>
      </c>
      <c r="C205" s="58" t="s">
        <v>114</v>
      </c>
      <c r="D205" s="58" t="s">
        <v>113</v>
      </c>
      <c r="E205" s="58">
        <v>86.01</v>
      </c>
      <c r="F205" s="58"/>
      <c r="G205" s="58">
        <v>98024.66</v>
      </c>
    </row>
    <row r="206" spans="1:7" x14ac:dyDescent="0.2">
      <c r="A206" s="58" t="s">
        <v>113</v>
      </c>
      <c r="B206" s="58" t="s">
        <v>36</v>
      </c>
      <c r="C206" s="58" t="s">
        <v>115</v>
      </c>
      <c r="D206" s="58" t="s">
        <v>113</v>
      </c>
      <c r="E206" s="58">
        <v>75</v>
      </c>
      <c r="F206" s="58"/>
      <c r="G206" s="58">
        <v>97949.66</v>
      </c>
    </row>
    <row r="207" spans="1:7" x14ac:dyDescent="0.2">
      <c r="A207" s="58" t="s">
        <v>116</v>
      </c>
      <c r="B207" s="58" t="s">
        <v>117</v>
      </c>
      <c r="C207" s="58" t="s">
        <v>118</v>
      </c>
      <c r="D207" s="58" t="s">
        <v>116</v>
      </c>
      <c r="E207" s="58">
        <v>2024.32</v>
      </c>
      <c r="F207" s="58"/>
      <c r="G207" s="58">
        <v>95925.34</v>
      </c>
    </row>
    <row r="208" spans="1:7" x14ac:dyDescent="0.2">
      <c r="A208" s="58" t="s">
        <v>116</v>
      </c>
      <c r="B208" s="58" t="s">
        <v>119</v>
      </c>
      <c r="C208" s="58" t="s">
        <v>120</v>
      </c>
      <c r="D208" s="58" t="s">
        <v>116</v>
      </c>
      <c r="E208" s="58">
        <v>3000</v>
      </c>
      <c r="F208" s="58"/>
      <c r="G208" s="58">
        <v>92925.34</v>
      </c>
    </row>
    <row r="209" spans="1:7" x14ac:dyDescent="0.2">
      <c r="A209" s="58" t="s">
        <v>116</v>
      </c>
      <c r="B209" s="58" t="s">
        <v>36</v>
      </c>
      <c r="C209" s="58" t="s">
        <v>121</v>
      </c>
      <c r="D209" s="58" t="s">
        <v>116</v>
      </c>
      <c r="E209" s="58">
        <v>75</v>
      </c>
      <c r="F209" s="58"/>
      <c r="G209" s="58">
        <v>92850.34</v>
      </c>
    </row>
    <row r="210" spans="1:7" x14ac:dyDescent="0.2">
      <c r="A210" s="58" t="s">
        <v>116</v>
      </c>
      <c r="B210" s="58" t="s">
        <v>85</v>
      </c>
      <c r="C210" s="58" t="s">
        <v>122</v>
      </c>
      <c r="D210" s="58" t="s">
        <v>116</v>
      </c>
      <c r="E210" s="58">
        <v>5750</v>
      </c>
      <c r="F210" s="58"/>
      <c r="G210" s="58">
        <v>87100.34</v>
      </c>
    </row>
    <row r="211" spans="1:7" x14ac:dyDescent="0.2">
      <c r="A211" s="58" t="s">
        <v>123</v>
      </c>
      <c r="B211" s="58" t="s">
        <v>35</v>
      </c>
      <c r="C211" s="58" t="s">
        <v>124</v>
      </c>
      <c r="D211" s="58" t="s">
        <v>123</v>
      </c>
      <c r="E211" s="58">
        <v>176.99</v>
      </c>
      <c r="F211" s="58"/>
      <c r="G211" s="58">
        <v>86923.35</v>
      </c>
    </row>
    <row r="212" spans="1:7" x14ac:dyDescent="0.2">
      <c r="A212" s="58" t="s">
        <v>123</v>
      </c>
      <c r="B212" s="58" t="s">
        <v>36</v>
      </c>
      <c r="C212" s="58" t="s">
        <v>125</v>
      </c>
      <c r="D212" s="58" t="s">
        <v>123</v>
      </c>
      <c r="E212" s="58">
        <v>75</v>
      </c>
      <c r="F212" s="58"/>
      <c r="G212" s="58">
        <v>86848.35</v>
      </c>
    </row>
    <row r="213" spans="1:7" x14ac:dyDescent="0.2">
      <c r="A213" s="58" t="s">
        <v>123</v>
      </c>
      <c r="B213" s="58" t="s">
        <v>126</v>
      </c>
      <c r="C213" s="58" t="s">
        <v>127</v>
      </c>
      <c r="D213" s="58" t="s">
        <v>128</v>
      </c>
      <c r="E213" s="58">
        <v>1144</v>
      </c>
      <c r="F213" s="58"/>
      <c r="G213" s="58">
        <v>85704.35</v>
      </c>
    </row>
    <row r="214" spans="1:7" x14ac:dyDescent="0.2">
      <c r="A214" s="58" t="s">
        <v>128</v>
      </c>
      <c r="B214" s="58" t="s">
        <v>129</v>
      </c>
      <c r="C214" s="58" t="s">
        <v>118</v>
      </c>
      <c r="D214" s="58" t="s">
        <v>123</v>
      </c>
      <c r="E214" s="58"/>
      <c r="F214" s="58">
        <v>1007</v>
      </c>
      <c r="G214" s="58">
        <v>86711.35</v>
      </c>
    </row>
    <row r="215" spans="1:7" x14ac:dyDescent="0.2">
      <c r="A215" s="58" t="s">
        <v>128</v>
      </c>
      <c r="B215" s="58" t="s">
        <v>36</v>
      </c>
      <c r="C215" s="58" t="s">
        <v>130</v>
      </c>
      <c r="D215" s="58" t="s">
        <v>128</v>
      </c>
      <c r="E215" s="58">
        <v>94</v>
      </c>
      <c r="F215" s="58"/>
      <c r="G215" s="58">
        <v>86617.35</v>
      </c>
    </row>
    <row r="216" spans="1:7" x14ac:dyDescent="0.2">
      <c r="A216" s="58" t="s">
        <v>128</v>
      </c>
      <c r="B216" s="58" t="s">
        <v>54</v>
      </c>
      <c r="C216" s="58" t="s">
        <v>131</v>
      </c>
      <c r="D216" s="58" t="s">
        <v>128</v>
      </c>
      <c r="E216" s="58">
        <v>137</v>
      </c>
      <c r="F216" s="58"/>
      <c r="G216" s="58">
        <v>86480.35</v>
      </c>
    </row>
    <row r="217" spans="1:7" x14ac:dyDescent="0.2">
      <c r="A217" s="58" t="s">
        <v>128</v>
      </c>
      <c r="B217" s="58" t="s">
        <v>35</v>
      </c>
      <c r="C217" s="58" t="s">
        <v>132</v>
      </c>
      <c r="D217" s="58" t="s">
        <v>128</v>
      </c>
      <c r="E217" s="58">
        <v>178.57</v>
      </c>
      <c r="F217" s="58"/>
      <c r="G217" s="58">
        <v>86301.78</v>
      </c>
    </row>
    <row r="218" spans="1:7" x14ac:dyDescent="0.2">
      <c r="A218" s="58" t="s">
        <v>133</v>
      </c>
      <c r="B218" s="58" t="s">
        <v>134</v>
      </c>
      <c r="C218" s="58" t="s">
        <v>135</v>
      </c>
      <c r="D218" s="58" t="s">
        <v>128</v>
      </c>
      <c r="E218" s="58">
        <v>3500</v>
      </c>
      <c r="F218" s="58"/>
      <c r="G218" s="58">
        <v>82801.78</v>
      </c>
    </row>
    <row r="219" spans="1:7" x14ac:dyDescent="0.2">
      <c r="A219" s="58" t="s">
        <v>133</v>
      </c>
      <c r="B219" s="58" t="s">
        <v>35</v>
      </c>
      <c r="C219" s="58" t="s">
        <v>136</v>
      </c>
      <c r="D219" s="58" t="s">
        <v>133</v>
      </c>
      <c r="E219" s="58">
        <v>122.46</v>
      </c>
      <c r="F219" s="58"/>
      <c r="G219" s="58">
        <v>82679.320000000007</v>
      </c>
    </row>
    <row r="220" spans="1:7" x14ac:dyDescent="0.2">
      <c r="A220" s="58" t="s">
        <v>133</v>
      </c>
      <c r="B220" s="58" t="s">
        <v>35</v>
      </c>
      <c r="C220" s="58" t="s">
        <v>137</v>
      </c>
      <c r="D220" s="58" t="s">
        <v>133</v>
      </c>
      <c r="E220" s="58">
        <v>111.7</v>
      </c>
      <c r="F220" s="58"/>
      <c r="G220" s="58">
        <v>82567.62</v>
      </c>
    </row>
    <row r="221" spans="1:7" x14ac:dyDescent="0.2">
      <c r="A221" s="58" t="s">
        <v>133</v>
      </c>
      <c r="B221" s="58" t="s">
        <v>35</v>
      </c>
      <c r="C221" s="58" t="s">
        <v>138</v>
      </c>
      <c r="D221" s="58" t="s">
        <v>133</v>
      </c>
      <c r="E221" s="58">
        <v>98.08</v>
      </c>
      <c r="F221" s="58"/>
      <c r="G221" s="58">
        <v>82469.539999999994</v>
      </c>
    </row>
    <row r="222" spans="1:7" x14ac:dyDescent="0.2">
      <c r="A222" s="58" t="s">
        <v>139</v>
      </c>
      <c r="B222" s="58" t="s">
        <v>35</v>
      </c>
      <c r="C222" s="58" t="s">
        <v>140</v>
      </c>
      <c r="D222" s="58" t="s">
        <v>139</v>
      </c>
      <c r="E222" s="58">
        <v>10.25</v>
      </c>
      <c r="F222" s="58"/>
      <c r="G222" s="58">
        <v>82459.289999999994</v>
      </c>
    </row>
    <row r="223" spans="1:7" x14ac:dyDescent="0.2">
      <c r="A223" s="58" t="s">
        <v>139</v>
      </c>
      <c r="B223" s="58" t="s">
        <v>36</v>
      </c>
      <c r="C223" s="58" t="s">
        <v>141</v>
      </c>
      <c r="D223" s="58" t="s">
        <v>139</v>
      </c>
      <c r="E223" s="58">
        <v>94</v>
      </c>
      <c r="F223" s="58"/>
      <c r="G223" s="58">
        <v>82365.289999999994</v>
      </c>
    </row>
    <row r="224" spans="1:7" x14ac:dyDescent="0.2">
      <c r="A224" s="58" t="s">
        <v>139</v>
      </c>
      <c r="B224" s="58" t="s">
        <v>142</v>
      </c>
      <c r="C224" s="58" t="s">
        <v>143</v>
      </c>
      <c r="D224" s="58" t="s">
        <v>139</v>
      </c>
      <c r="E224" s="58">
        <v>2200</v>
      </c>
      <c r="F224" s="58"/>
      <c r="G224" s="58">
        <v>80165.289999999994</v>
      </c>
    </row>
    <row r="225" spans="1:7" x14ac:dyDescent="0.2">
      <c r="A225" s="58" t="s">
        <v>139</v>
      </c>
      <c r="B225" s="58" t="s">
        <v>144</v>
      </c>
      <c r="C225" s="58" t="s">
        <v>145</v>
      </c>
      <c r="D225" s="58" t="s">
        <v>139</v>
      </c>
      <c r="E225" s="58">
        <v>3428</v>
      </c>
      <c r="F225" s="58"/>
      <c r="G225" s="58">
        <v>76737.289999999994</v>
      </c>
    </row>
    <row r="226" spans="1:7" x14ac:dyDescent="0.2">
      <c r="A226" s="58" t="s">
        <v>146</v>
      </c>
      <c r="B226" s="58" t="s">
        <v>35</v>
      </c>
      <c r="C226" s="58" t="s">
        <v>147</v>
      </c>
      <c r="D226" s="58" t="s">
        <v>146</v>
      </c>
      <c r="E226" s="58">
        <v>194.94</v>
      </c>
      <c r="F226" s="58"/>
      <c r="G226" s="58">
        <v>76542.350000000006</v>
      </c>
    </row>
    <row r="227" spans="1:7" x14ac:dyDescent="0.2">
      <c r="A227" s="58" t="s">
        <v>146</v>
      </c>
      <c r="B227" s="58" t="s">
        <v>36</v>
      </c>
      <c r="C227" s="58" t="s">
        <v>148</v>
      </c>
      <c r="D227" s="58" t="s">
        <v>146</v>
      </c>
      <c r="E227" s="58">
        <v>94</v>
      </c>
      <c r="F227" s="58"/>
      <c r="G227" s="58">
        <v>76448.350000000006</v>
      </c>
    </row>
    <row r="228" spans="1:7" x14ac:dyDescent="0.2">
      <c r="A228" s="58" t="s">
        <v>149</v>
      </c>
      <c r="B228" s="58" t="s">
        <v>35</v>
      </c>
      <c r="C228" s="58" t="s">
        <v>150</v>
      </c>
      <c r="D228" s="58" t="s">
        <v>149</v>
      </c>
      <c r="E228" s="58">
        <v>162.77000000000001</v>
      </c>
      <c r="F228" s="58"/>
      <c r="G228" s="58">
        <v>76285.58</v>
      </c>
    </row>
    <row r="229" spans="1:7" x14ac:dyDescent="0.2">
      <c r="A229" s="58" t="s">
        <v>149</v>
      </c>
      <c r="B229" s="58" t="s">
        <v>36</v>
      </c>
      <c r="C229" s="58" t="s">
        <v>151</v>
      </c>
      <c r="D229" s="58" t="s">
        <v>149</v>
      </c>
      <c r="E229" s="58">
        <v>94</v>
      </c>
      <c r="F229" s="58"/>
      <c r="G229" s="58">
        <v>76191.58</v>
      </c>
    </row>
    <row r="230" spans="1:7" x14ac:dyDescent="0.2">
      <c r="A230" s="58" t="s">
        <v>149</v>
      </c>
      <c r="B230" s="58" t="s">
        <v>152</v>
      </c>
      <c r="C230" s="58" t="s">
        <v>153</v>
      </c>
      <c r="D230" s="58" t="s">
        <v>149</v>
      </c>
      <c r="E230" s="58">
        <v>153</v>
      </c>
      <c r="F230" s="58"/>
      <c r="G230" s="58">
        <v>76038.58</v>
      </c>
    </row>
    <row r="231" spans="1:7" x14ac:dyDescent="0.2">
      <c r="A231" s="58" t="s">
        <v>149</v>
      </c>
      <c r="B231" s="58" t="s">
        <v>154</v>
      </c>
      <c r="C231" s="58" t="s">
        <v>155</v>
      </c>
      <c r="D231" s="58" t="s">
        <v>149</v>
      </c>
      <c r="E231" s="58">
        <v>3000</v>
      </c>
      <c r="F231" s="58"/>
      <c r="G231" s="58">
        <v>73038.58</v>
      </c>
    </row>
    <row r="232" spans="1:7" x14ac:dyDescent="0.2">
      <c r="A232" s="58" t="s">
        <v>156</v>
      </c>
      <c r="B232" s="58" t="s">
        <v>35</v>
      </c>
      <c r="C232" s="58" t="s">
        <v>157</v>
      </c>
      <c r="D232" s="58" t="s">
        <v>156</v>
      </c>
      <c r="E232" s="58">
        <v>163.53</v>
      </c>
      <c r="F232" s="58"/>
      <c r="G232" s="58">
        <v>72875.05</v>
      </c>
    </row>
    <row r="233" spans="1:7" x14ac:dyDescent="0.2">
      <c r="A233" s="58" t="s">
        <v>156</v>
      </c>
      <c r="B233" s="58" t="s">
        <v>36</v>
      </c>
      <c r="C233" s="58" t="s">
        <v>158</v>
      </c>
      <c r="D233" s="58" t="s">
        <v>156</v>
      </c>
      <c r="E233" s="58">
        <v>94</v>
      </c>
      <c r="F233" s="58"/>
      <c r="G233" s="58">
        <v>72781.05</v>
      </c>
    </row>
    <row r="234" spans="1:7" x14ac:dyDescent="0.2">
      <c r="A234" s="58" t="s">
        <v>156</v>
      </c>
      <c r="B234" s="58" t="s">
        <v>159</v>
      </c>
      <c r="C234" s="58" t="s">
        <v>160</v>
      </c>
      <c r="D234" s="58" t="s">
        <v>156</v>
      </c>
      <c r="E234" s="58">
        <v>250</v>
      </c>
      <c r="F234" s="58"/>
      <c r="G234" s="58">
        <v>72531.05</v>
      </c>
    </row>
    <row r="235" spans="1:7" x14ac:dyDescent="0.2">
      <c r="A235" s="58" t="s">
        <v>156</v>
      </c>
      <c r="B235" s="58" t="s">
        <v>161</v>
      </c>
      <c r="C235" s="58" t="s">
        <v>162</v>
      </c>
      <c r="D235" s="58" t="s">
        <v>156</v>
      </c>
      <c r="E235" s="58">
        <v>500</v>
      </c>
      <c r="F235" s="58"/>
      <c r="G235" s="58">
        <v>72031.05</v>
      </c>
    </row>
    <row r="236" spans="1:7" x14ac:dyDescent="0.2">
      <c r="A236" s="58" t="s">
        <v>163</v>
      </c>
      <c r="B236" s="58" t="s">
        <v>35</v>
      </c>
      <c r="C236" s="58" t="s">
        <v>164</v>
      </c>
      <c r="D236" s="58" t="s">
        <v>163</v>
      </c>
      <c r="E236" s="58">
        <v>167.23</v>
      </c>
      <c r="F236" s="58"/>
      <c r="G236" s="58">
        <v>71863.820000000007</v>
      </c>
    </row>
    <row r="237" spans="1:7" x14ac:dyDescent="0.2">
      <c r="A237" s="58" t="s">
        <v>163</v>
      </c>
      <c r="B237" s="58" t="s">
        <v>65</v>
      </c>
      <c r="C237" s="58" t="s">
        <v>165</v>
      </c>
      <c r="D237" s="58" t="s">
        <v>163</v>
      </c>
      <c r="E237" s="58">
        <v>379</v>
      </c>
      <c r="F237" s="58"/>
      <c r="G237" s="58">
        <v>71484.820000000007</v>
      </c>
    </row>
    <row r="238" spans="1:7" x14ac:dyDescent="0.2">
      <c r="A238" s="58" t="s">
        <v>163</v>
      </c>
      <c r="B238" s="58" t="s">
        <v>35</v>
      </c>
      <c r="C238" s="58" t="s">
        <v>166</v>
      </c>
      <c r="D238" s="58" t="s">
        <v>163</v>
      </c>
      <c r="E238" s="58">
        <v>169.93</v>
      </c>
      <c r="F238" s="58"/>
      <c r="G238" s="58">
        <v>71314.89</v>
      </c>
    </row>
    <row r="239" spans="1:7" x14ac:dyDescent="0.2">
      <c r="A239" s="58" t="s">
        <v>163</v>
      </c>
      <c r="B239" s="58" t="s">
        <v>167</v>
      </c>
      <c r="C239" s="58" t="s">
        <v>168</v>
      </c>
      <c r="D239" s="58" t="s">
        <v>163</v>
      </c>
      <c r="E239" s="58">
        <v>1294</v>
      </c>
      <c r="F239" s="58"/>
      <c r="G239" s="58">
        <v>70020.89</v>
      </c>
    </row>
    <row r="240" spans="1:7" x14ac:dyDescent="0.2">
      <c r="A240" s="58" t="s">
        <v>169</v>
      </c>
      <c r="B240" s="58" t="s">
        <v>35</v>
      </c>
      <c r="C240" s="58" t="s">
        <v>170</v>
      </c>
      <c r="D240" s="58" t="s">
        <v>169</v>
      </c>
      <c r="E240" s="58">
        <v>96.55</v>
      </c>
      <c r="F240" s="58"/>
      <c r="G240" s="58">
        <v>69924.34</v>
      </c>
    </row>
    <row r="241" spans="1:7" x14ac:dyDescent="0.2">
      <c r="A241" s="58" t="s">
        <v>169</v>
      </c>
      <c r="B241" s="58" t="s">
        <v>54</v>
      </c>
      <c r="C241" s="58" t="s">
        <v>171</v>
      </c>
      <c r="D241" s="58" t="s">
        <v>169</v>
      </c>
      <c r="E241" s="58">
        <v>137</v>
      </c>
      <c r="F241" s="58"/>
      <c r="G241" s="58">
        <v>69787.34</v>
      </c>
    </row>
    <row r="242" spans="1:7" x14ac:dyDescent="0.2">
      <c r="A242" s="58" t="s">
        <v>169</v>
      </c>
      <c r="B242" s="58" t="s">
        <v>172</v>
      </c>
      <c r="C242" s="58" t="s">
        <v>173</v>
      </c>
      <c r="D242" s="58" t="s">
        <v>169</v>
      </c>
      <c r="E242" s="58">
        <v>113</v>
      </c>
      <c r="F242" s="58"/>
      <c r="G242" s="58">
        <v>69674.34</v>
      </c>
    </row>
    <row r="243" spans="1:7" x14ac:dyDescent="0.2">
      <c r="A243" s="58" t="s">
        <v>169</v>
      </c>
      <c r="B243" s="58" t="s">
        <v>36</v>
      </c>
      <c r="C243" s="58" t="s">
        <v>174</v>
      </c>
      <c r="D243" s="58" t="s">
        <v>169</v>
      </c>
      <c r="E243" s="58">
        <v>94</v>
      </c>
      <c r="F243" s="58"/>
      <c r="G243" s="58">
        <v>69580.34</v>
      </c>
    </row>
    <row r="244" spans="1:7" x14ac:dyDescent="0.2">
      <c r="A244" s="58" t="s">
        <v>169</v>
      </c>
      <c r="B244" s="58" t="s">
        <v>35</v>
      </c>
      <c r="C244" s="58" t="s">
        <v>175</v>
      </c>
      <c r="D244" s="58" t="s">
        <v>169</v>
      </c>
      <c r="E244" s="58">
        <v>171.28</v>
      </c>
      <c r="F244" s="58"/>
      <c r="G244" s="58">
        <v>69409.06</v>
      </c>
    </row>
    <row r="245" spans="1:7" x14ac:dyDescent="0.2">
      <c r="A245" s="58" t="s">
        <v>169</v>
      </c>
      <c r="B245" s="58" t="s">
        <v>47</v>
      </c>
      <c r="C245" s="58" t="s">
        <v>176</v>
      </c>
      <c r="D245" s="58" t="s">
        <v>169</v>
      </c>
      <c r="E245" s="58">
        <v>740</v>
      </c>
      <c r="F245" s="58"/>
      <c r="G245" s="58">
        <v>68669.06</v>
      </c>
    </row>
    <row r="246" spans="1:7" x14ac:dyDescent="0.2">
      <c r="A246" s="58" t="s">
        <v>169</v>
      </c>
      <c r="B246" s="58" t="s">
        <v>35</v>
      </c>
      <c r="C246" s="58" t="s">
        <v>177</v>
      </c>
      <c r="D246" s="58" t="s">
        <v>169</v>
      </c>
      <c r="E246" s="58">
        <v>195.14</v>
      </c>
      <c r="F246" s="58"/>
      <c r="G246" s="58">
        <v>68473.919999999998</v>
      </c>
    </row>
    <row r="247" spans="1:7" x14ac:dyDescent="0.2">
      <c r="A247" s="58" t="s">
        <v>178</v>
      </c>
      <c r="B247" s="58" t="s">
        <v>179</v>
      </c>
      <c r="C247" s="58" t="s">
        <v>180</v>
      </c>
      <c r="D247" s="58" t="s">
        <v>178</v>
      </c>
      <c r="E247" s="58">
        <v>902</v>
      </c>
      <c r="F247" s="58"/>
      <c r="G247" s="58">
        <v>67571.92</v>
      </c>
    </row>
    <row r="248" spans="1:7" x14ac:dyDescent="0.2">
      <c r="A248" s="58" t="s">
        <v>178</v>
      </c>
      <c r="B248" s="58" t="s">
        <v>35</v>
      </c>
      <c r="C248" s="58" t="s">
        <v>181</v>
      </c>
      <c r="D248" s="58" t="s">
        <v>178</v>
      </c>
      <c r="E248" s="58">
        <v>120.35</v>
      </c>
      <c r="F248" s="58"/>
      <c r="G248" s="58">
        <v>67451.570000000007</v>
      </c>
    </row>
    <row r="249" spans="1:7" x14ac:dyDescent="0.2">
      <c r="A249" s="58" t="s">
        <v>178</v>
      </c>
      <c r="B249" s="58" t="s">
        <v>35</v>
      </c>
      <c r="C249" s="58" t="s">
        <v>182</v>
      </c>
      <c r="D249" s="58" t="s">
        <v>178</v>
      </c>
      <c r="E249" s="58">
        <v>300.63</v>
      </c>
      <c r="F249" s="58"/>
      <c r="G249" s="58">
        <v>67150.94</v>
      </c>
    </row>
    <row r="250" spans="1:7" x14ac:dyDescent="0.2">
      <c r="A250" s="58" t="s">
        <v>178</v>
      </c>
      <c r="B250" s="58" t="s">
        <v>54</v>
      </c>
      <c r="C250" s="58" t="s">
        <v>183</v>
      </c>
      <c r="D250" s="58" t="s">
        <v>178</v>
      </c>
      <c r="E250" s="58">
        <v>130</v>
      </c>
      <c r="F250" s="58"/>
      <c r="G250" s="58">
        <v>67020.94</v>
      </c>
    </row>
    <row r="251" spans="1:7" x14ac:dyDescent="0.2">
      <c r="A251" s="58" t="s">
        <v>178</v>
      </c>
      <c r="B251" s="58" t="s">
        <v>35</v>
      </c>
      <c r="C251" s="58" t="s">
        <v>184</v>
      </c>
      <c r="D251" s="58" t="s">
        <v>178</v>
      </c>
      <c r="E251" s="58">
        <v>152.9</v>
      </c>
      <c r="F251" s="58"/>
      <c r="G251" s="58">
        <v>66868.039999999994</v>
      </c>
    </row>
    <row r="252" spans="1:7" x14ac:dyDescent="0.2">
      <c r="A252" s="58" t="s">
        <v>185</v>
      </c>
      <c r="B252" s="58" t="s">
        <v>35</v>
      </c>
      <c r="C252" s="58" t="s">
        <v>186</v>
      </c>
      <c r="D252" s="58" t="s">
        <v>185</v>
      </c>
      <c r="E252" s="58">
        <v>22.95</v>
      </c>
      <c r="F252" s="58"/>
      <c r="G252" s="58">
        <v>66845.09</v>
      </c>
    </row>
    <row r="253" spans="1:7" x14ac:dyDescent="0.2">
      <c r="A253" s="58" t="s">
        <v>185</v>
      </c>
      <c r="B253" s="58" t="s">
        <v>36</v>
      </c>
      <c r="C253" s="58" t="s">
        <v>187</v>
      </c>
      <c r="D253" s="58" t="s">
        <v>185</v>
      </c>
      <c r="E253" s="58">
        <v>94</v>
      </c>
      <c r="F253" s="58"/>
      <c r="G253" s="58">
        <v>66751.09</v>
      </c>
    </row>
    <row r="254" spans="1:7" x14ac:dyDescent="0.2">
      <c r="A254" s="58" t="s">
        <v>185</v>
      </c>
      <c r="B254" s="58" t="s">
        <v>154</v>
      </c>
      <c r="C254" s="58" t="s">
        <v>188</v>
      </c>
      <c r="D254" s="58" t="s">
        <v>185</v>
      </c>
      <c r="E254" s="58">
        <v>1000</v>
      </c>
      <c r="F254" s="58"/>
      <c r="G254" s="58">
        <v>65751.09</v>
      </c>
    </row>
    <row r="255" spans="1:7" x14ac:dyDescent="0.2">
      <c r="A255" s="58" t="s">
        <v>189</v>
      </c>
      <c r="B255" s="58" t="s">
        <v>35</v>
      </c>
      <c r="C255" s="58" t="s">
        <v>190</v>
      </c>
      <c r="D255" s="58" t="s">
        <v>189</v>
      </c>
      <c r="E255" s="58">
        <v>174.24</v>
      </c>
      <c r="F255" s="58"/>
      <c r="G255" s="58">
        <v>65576.850000000006</v>
      </c>
    </row>
    <row r="256" spans="1:7" x14ac:dyDescent="0.2">
      <c r="A256" s="58" t="s">
        <v>191</v>
      </c>
      <c r="B256" s="58" t="s">
        <v>36</v>
      </c>
      <c r="C256" s="58" t="s">
        <v>192</v>
      </c>
      <c r="D256" s="58" t="s">
        <v>191</v>
      </c>
      <c r="E256" s="58">
        <v>94</v>
      </c>
      <c r="F256" s="58"/>
      <c r="G256" s="58">
        <v>65482.85</v>
      </c>
    </row>
    <row r="257" spans="1:7" x14ac:dyDescent="0.2">
      <c r="A257" s="58" t="s">
        <v>193</v>
      </c>
      <c r="B257" s="58" t="s">
        <v>35</v>
      </c>
      <c r="C257" s="58" t="s">
        <v>194</v>
      </c>
      <c r="D257" s="58" t="s">
        <v>193</v>
      </c>
      <c r="E257" s="58">
        <v>175.77</v>
      </c>
      <c r="F257" s="58"/>
      <c r="G257" s="58">
        <v>65307.08</v>
      </c>
    </row>
    <row r="258" spans="1:7" x14ac:dyDescent="0.2">
      <c r="A258" s="58" t="s">
        <v>193</v>
      </c>
      <c r="B258" s="58" t="s">
        <v>36</v>
      </c>
      <c r="C258" s="58" t="s">
        <v>195</v>
      </c>
      <c r="D258" s="58" t="s">
        <v>193</v>
      </c>
      <c r="E258" s="58">
        <v>94</v>
      </c>
      <c r="F258" s="58"/>
      <c r="G258" s="58">
        <v>65213.08</v>
      </c>
    </row>
    <row r="259" spans="1:7" x14ac:dyDescent="0.2">
      <c r="A259" s="58" t="s">
        <v>193</v>
      </c>
      <c r="B259" s="58" t="s">
        <v>35</v>
      </c>
      <c r="C259" s="58" t="s">
        <v>196</v>
      </c>
      <c r="D259" s="58" t="s">
        <v>193</v>
      </c>
      <c r="E259" s="58">
        <v>117.74</v>
      </c>
      <c r="F259" s="58"/>
      <c r="G259" s="58">
        <v>65095.34</v>
      </c>
    </row>
    <row r="260" spans="1:7" x14ac:dyDescent="0.2">
      <c r="A260" s="58" t="s">
        <v>197</v>
      </c>
      <c r="B260" s="58" t="s">
        <v>35</v>
      </c>
      <c r="C260" s="58" t="s">
        <v>198</v>
      </c>
      <c r="D260" s="58" t="s">
        <v>197</v>
      </c>
      <c r="E260" s="58">
        <v>161.30000000000001</v>
      </c>
      <c r="F260" s="58"/>
      <c r="G260" s="58">
        <v>64934.04</v>
      </c>
    </row>
    <row r="261" spans="1:7" x14ac:dyDescent="0.2">
      <c r="A261" s="58" t="s">
        <v>197</v>
      </c>
      <c r="B261" s="58" t="s">
        <v>36</v>
      </c>
      <c r="C261" s="58" t="s">
        <v>199</v>
      </c>
      <c r="D261" s="58" t="s">
        <v>197</v>
      </c>
      <c r="E261" s="58">
        <v>94</v>
      </c>
      <c r="F261" s="58"/>
      <c r="G261" s="58">
        <v>64840.04</v>
      </c>
    </row>
    <row r="262" spans="1:7" x14ac:dyDescent="0.2">
      <c r="A262" s="58" t="s">
        <v>197</v>
      </c>
      <c r="B262" s="58" t="s">
        <v>200</v>
      </c>
      <c r="C262" s="58" t="s">
        <v>201</v>
      </c>
      <c r="D262" s="58" t="s">
        <v>197</v>
      </c>
      <c r="E262" s="58"/>
      <c r="F262" s="58">
        <v>111298</v>
      </c>
      <c r="G262" s="58">
        <v>176138.04</v>
      </c>
    </row>
    <row r="263" spans="1:7" x14ac:dyDescent="0.2">
      <c r="A263" s="58" t="s">
        <v>197</v>
      </c>
      <c r="B263" s="58" t="s">
        <v>202</v>
      </c>
      <c r="C263" s="58" t="s">
        <v>203</v>
      </c>
      <c r="D263" s="58" t="s">
        <v>197</v>
      </c>
      <c r="E263" s="58">
        <v>10000</v>
      </c>
      <c r="F263" s="58"/>
      <c r="G263" s="58">
        <v>166138.04</v>
      </c>
    </row>
    <row r="264" spans="1:7" x14ac:dyDescent="0.2">
      <c r="A264" s="58" t="s">
        <v>477</v>
      </c>
      <c r="B264" s="58" t="s">
        <v>54</v>
      </c>
      <c r="C264" s="58" t="s">
        <v>478</v>
      </c>
      <c r="D264" s="58" t="s">
        <v>477</v>
      </c>
      <c r="E264" s="58">
        <v>236</v>
      </c>
      <c r="F264" s="58"/>
      <c r="G264" s="58">
        <v>165902.04</v>
      </c>
    </row>
    <row r="265" spans="1:7" x14ac:dyDescent="0.2">
      <c r="A265" s="58" t="s">
        <v>477</v>
      </c>
      <c r="B265" s="58" t="s">
        <v>52</v>
      </c>
      <c r="C265" s="58" t="s">
        <v>479</v>
      </c>
      <c r="D265" s="58" t="s">
        <v>477</v>
      </c>
      <c r="E265" s="58">
        <v>138</v>
      </c>
      <c r="F265" s="58"/>
      <c r="G265" s="58">
        <v>165764.04</v>
      </c>
    </row>
    <row r="266" spans="1:7" x14ac:dyDescent="0.2">
      <c r="A266" s="58" t="s">
        <v>512</v>
      </c>
      <c r="B266" s="58" t="s">
        <v>35</v>
      </c>
      <c r="C266" s="58" t="s">
        <v>513</v>
      </c>
      <c r="D266" s="58" t="s">
        <v>512</v>
      </c>
      <c r="E266" s="58">
        <v>166.56</v>
      </c>
      <c r="F266" s="58"/>
      <c r="G266" s="58">
        <v>165597.48000000001</v>
      </c>
    </row>
    <row r="267" spans="1:7" x14ac:dyDescent="0.2">
      <c r="A267" s="58" t="s">
        <v>512</v>
      </c>
      <c r="B267" s="58" t="s">
        <v>308</v>
      </c>
      <c r="C267" s="58" t="s">
        <v>514</v>
      </c>
      <c r="D267" s="58" t="s">
        <v>512</v>
      </c>
      <c r="E267" s="58">
        <v>348</v>
      </c>
      <c r="F267" s="58"/>
      <c r="G267" s="58">
        <v>165249.48000000001</v>
      </c>
    </row>
    <row r="268" spans="1:7" x14ac:dyDescent="0.2">
      <c r="A268" s="58" t="s">
        <v>512</v>
      </c>
      <c r="B268" s="58" t="s">
        <v>92</v>
      </c>
      <c r="C268" s="58" t="s">
        <v>515</v>
      </c>
      <c r="D268" s="58" t="s">
        <v>516</v>
      </c>
      <c r="E268" s="58">
        <v>1554</v>
      </c>
      <c r="F268" s="58"/>
      <c r="G268" s="58">
        <v>163695.48000000001</v>
      </c>
    </row>
    <row r="269" spans="1:7" x14ac:dyDescent="0.2">
      <c r="A269" s="58" t="s">
        <v>516</v>
      </c>
      <c r="B269" s="58" t="s">
        <v>36</v>
      </c>
      <c r="C269" s="58" t="s">
        <v>517</v>
      </c>
      <c r="D269" s="58" t="s">
        <v>516</v>
      </c>
      <c r="E269" s="58">
        <v>94</v>
      </c>
      <c r="F269" s="58"/>
      <c r="G269" s="58">
        <v>163601.48000000001</v>
      </c>
    </row>
    <row r="270" spans="1:7" x14ac:dyDescent="0.2">
      <c r="A270" s="58" t="s">
        <v>516</v>
      </c>
      <c r="B270" s="58" t="s">
        <v>35</v>
      </c>
      <c r="C270" s="58" t="s">
        <v>518</v>
      </c>
      <c r="D270" s="58" t="s">
        <v>516</v>
      </c>
      <c r="E270" s="58">
        <v>22.78</v>
      </c>
      <c r="F270" s="58"/>
      <c r="G270" s="58">
        <v>163578.70000000001</v>
      </c>
    </row>
    <row r="271" spans="1:7" x14ac:dyDescent="0.2">
      <c r="A271" s="58" t="s">
        <v>516</v>
      </c>
      <c r="B271" s="58" t="s">
        <v>154</v>
      </c>
      <c r="C271" s="58" t="s">
        <v>519</v>
      </c>
      <c r="D271" s="58" t="s">
        <v>516</v>
      </c>
      <c r="E271" s="58">
        <v>2000</v>
      </c>
      <c r="F271" s="58"/>
      <c r="G271" s="58">
        <v>161578.70000000001</v>
      </c>
    </row>
    <row r="272" spans="1:7" x14ac:dyDescent="0.2">
      <c r="A272" s="58" t="s">
        <v>520</v>
      </c>
      <c r="B272" s="58" t="s">
        <v>36</v>
      </c>
      <c r="C272" s="58" t="s">
        <v>521</v>
      </c>
      <c r="D272" s="58" t="s">
        <v>520</v>
      </c>
      <c r="E272" s="58">
        <v>94</v>
      </c>
      <c r="F272" s="58"/>
      <c r="G272" s="58">
        <v>161484.70000000001</v>
      </c>
    </row>
    <row r="273" spans="1:7" x14ac:dyDescent="0.2">
      <c r="A273" s="58" t="s">
        <v>520</v>
      </c>
      <c r="B273" s="58" t="s">
        <v>92</v>
      </c>
      <c r="C273" s="58" t="s">
        <v>522</v>
      </c>
      <c r="D273" s="58" t="s">
        <v>520</v>
      </c>
      <c r="E273" s="58">
        <v>708</v>
      </c>
      <c r="F273" s="58"/>
      <c r="G273" s="58">
        <v>160776.70000000001</v>
      </c>
    </row>
    <row r="274" spans="1:7" x14ac:dyDescent="0.2">
      <c r="A274" s="58" t="s">
        <v>523</v>
      </c>
      <c r="B274" s="58" t="s">
        <v>35</v>
      </c>
      <c r="C274" s="58" t="s">
        <v>524</v>
      </c>
      <c r="D274" s="58" t="s">
        <v>523</v>
      </c>
      <c r="E274" s="58">
        <v>168.14</v>
      </c>
      <c r="F274" s="58"/>
      <c r="G274" s="58">
        <v>160608.56</v>
      </c>
    </row>
    <row r="275" spans="1:7" x14ac:dyDescent="0.2">
      <c r="A275" s="58" t="s">
        <v>523</v>
      </c>
      <c r="B275" s="58" t="s">
        <v>36</v>
      </c>
      <c r="C275" s="58" t="s">
        <v>525</v>
      </c>
      <c r="D275" s="58" t="s">
        <v>523</v>
      </c>
      <c r="E275" s="58">
        <v>94</v>
      </c>
      <c r="F275" s="58"/>
      <c r="G275" s="58">
        <v>160514.56</v>
      </c>
    </row>
    <row r="276" spans="1:7" x14ac:dyDescent="0.2">
      <c r="A276" s="58" t="s">
        <v>523</v>
      </c>
      <c r="B276" s="58" t="s">
        <v>159</v>
      </c>
      <c r="C276" s="58" t="s">
        <v>526</v>
      </c>
      <c r="D276" s="58" t="s">
        <v>523</v>
      </c>
      <c r="E276" s="58">
        <v>100</v>
      </c>
      <c r="F276" s="58"/>
      <c r="G276" s="58">
        <v>160414.56</v>
      </c>
    </row>
    <row r="277" spans="1:7" x14ac:dyDescent="0.2">
      <c r="A277" s="58" t="s">
        <v>523</v>
      </c>
      <c r="B277" s="58" t="s">
        <v>167</v>
      </c>
      <c r="C277" s="58" t="s">
        <v>527</v>
      </c>
      <c r="D277" s="58" t="s">
        <v>523</v>
      </c>
      <c r="E277" s="58">
        <v>676</v>
      </c>
      <c r="F277" s="58"/>
      <c r="G277" s="58">
        <v>159738.56</v>
      </c>
    </row>
    <row r="278" spans="1:7" x14ac:dyDescent="0.2">
      <c r="A278" s="58" t="s">
        <v>528</v>
      </c>
      <c r="B278" s="58" t="s">
        <v>35</v>
      </c>
      <c r="C278" s="58" t="s">
        <v>529</v>
      </c>
      <c r="D278" s="58" t="s">
        <v>528</v>
      </c>
      <c r="E278" s="58">
        <v>175.21</v>
      </c>
      <c r="F278" s="58"/>
      <c r="G278" s="58">
        <v>159563.35</v>
      </c>
    </row>
    <row r="279" spans="1:7" x14ac:dyDescent="0.2">
      <c r="A279" s="58" t="s">
        <v>528</v>
      </c>
      <c r="B279" s="58" t="s">
        <v>119</v>
      </c>
      <c r="C279" s="58" t="s">
        <v>530</v>
      </c>
      <c r="D279" s="58" t="s">
        <v>528</v>
      </c>
      <c r="E279" s="58">
        <v>7000</v>
      </c>
      <c r="F279" s="58"/>
      <c r="G279" s="58">
        <v>152563.35</v>
      </c>
    </row>
    <row r="280" spans="1:7" x14ac:dyDescent="0.2">
      <c r="A280" s="58" t="s">
        <v>528</v>
      </c>
      <c r="B280" s="58" t="s">
        <v>36</v>
      </c>
      <c r="C280" s="58" t="s">
        <v>531</v>
      </c>
      <c r="D280" s="58" t="s">
        <v>528</v>
      </c>
      <c r="E280" s="58">
        <v>94</v>
      </c>
      <c r="F280" s="58"/>
      <c r="G280" s="58">
        <v>152469.35</v>
      </c>
    </row>
    <row r="281" spans="1:7" x14ac:dyDescent="0.2">
      <c r="A281" s="58" t="s">
        <v>532</v>
      </c>
      <c r="B281" s="58" t="s">
        <v>36</v>
      </c>
      <c r="C281" s="58" t="s">
        <v>533</v>
      </c>
      <c r="D281" s="58" t="s">
        <v>532</v>
      </c>
      <c r="E281" s="58">
        <v>94</v>
      </c>
      <c r="F281" s="58"/>
      <c r="G281" s="58">
        <v>152375.35</v>
      </c>
    </row>
    <row r="282" spans="1:7" x14ac:dyDescent="0.2">
      <c r="A282" s="58" t="s">
        <v>534</v>
      </c>
      <c r="B282" s="58" t="s">
        <v>35</v>
      </c>
      <c r="C282" s="58" t="s">
        <v>535</v>
      </c>
      <c r="D282" s="58" t="s">
        <v>534</v>
      </c>
      <c r="E282" s="58">
        <v>168.75</v>
      </c>
      <c r="F282" s="58"/>
      <c r="G282" s="58">
        <v>152206.6</v>
      </c>
    </row>
    <row r="283" spans="1:7" x14ac:dyDescent="0.2">
      <c r="A283" s="58" t="s">
        <v>534</v>
      </c>
      <c r="B283" s="58" t="s">
        <v>167</v>
      </c>
      <c r="C283" s="58" t="s">
        <v>536</v>
      </c>
      <c r="D283" s="58" t="s">
        <v>534</v>
      </c>
      <c r="E283" s="58">
        <v>910</v>
      </c>
      <c r="F283" s="58"/>
      <c r="G283" s="58">
        <v>151296.6</v>
      </c>
    </row>
    <row r="284" spans="1:7" x14ac:dyDescent="0.2">
      <c r="A284" s="58" t="s">
        <v>537</v>
      </c>
      <c r="B284" s="58" t="s">
        <v>35</v>
      </c>
      <c r="C284" s="58" t="s">
        <v>538</v>
      </c>
      <c r="D284" s="58" t="s">
        <v>537</v>
      </c>
      <c r="E284" s="58">
        <v>235.85</v>
      </c>
      <c r="F284" s="58"/>
      <c r="G284" s="58">
        <v>151060.75</v>
      </c>
    </row>
    <row r="285" spans="1:7" x14ac:dyDescent="0.2">
      <c r="A285" s="58" t="s">
        <v>537</v>
      </c>
      <c r="B285" s="58" t="s">
        <v>539</v>
      </c>
      <c r="C285" s="58" t="s">
        <v>540</v>
      </c>
      <c r="D285" s="58" t="s">
        <v>537</v>
      </c>
      <c r="E285" s="58">
        <v>308</v>
      </c>
      <c r="F285" s="58"/>
      <c r="G285" s="58">
        <v>150752.75</v>
      </c>
    </row>
    <row r="286" spans="1:7" x14ac:dyDescent="0.2">
      <c r="A286" s="58" t="s">
        <v>537</v>
      </c>
      <c r="B286" s="58" t="s">
        <v>35</v>
      </c>
      <c r="C286" s="58" t="s">
        <v>541</v>
      </c>
      <c r="D286" s="58" t="s">
        <v>537</v>
      </c>
      <c r="E286" s="58">
        <v>33.57</v>
      </c>
      <c r="F286" s="58"/>
      <c r="G286" s="58">
        <v>150719.18</v>
      </c>
    </row>
    <row r="287" spans="1:7" x14ac:dyDescent="0.2">
      <c r="A287" s="58" t="s">
        <v>537</v>
      </c>
      <c r="B287" s="58" t="s">
        <v>542</v>
      </c>
      <c r="C287" s="58" t="s">
        <v>543</v>
      </c>
      <c r="D287" s="58" t="s">
        <v>537</v>
      </c>
      <c r="E287" s="58">
        <v>95</v>
      </c>
      <c r="F287" s="58"/>
      <c r="G287" s="58">
        <v>150624.18</v>
      </c>
    </row>
    <row r="288" spans="1:7" x14ac:dyDescent="0.2">
      <c r="A288" s="58" t="s">
        <v>537</v>
      </c>
      <c r="B288" s="58" t="s">
        <v>542</v>
      </c>
      <c r="C288" s="58" t="s">
        <v>544</v>
      </c>
      <c r="D288" s="58" t="s">
        <v>537</v>
      </c>
      <c r="E288" s="58">
        <v>815</v>
      </c>
      <c r="F288" s="58"/>
      <c r="G288" s="58">
        <v>149809.18</v>
      </c>
    </row>
    <row r="289" spans="1:7" x14ac:dyDescent="0.2">
      <c r="A289" s="58" t="s">
        <v>537</v>
      </c>
      <c r="B289" s="58" t="s">
        <v>347</v>
      </c>
      <c r="C289" s="58" t="s">
        <v>545</v>
      </c>
      <c r="D289" s="58" t="s">
        <v>546</v>
      </c>
      <c r="E289" s="58">
        <v>200</v>
      </c>
      <c r="F289" s="58"/>
      <c r="G289" s="58">
        <v>149609.18</v>
      </c>
    </row>
    <row r="290" spans="1:7" x14ac:dyDescent="0.2">
      <c r="A290" s="58" t="s">
        <v>537</v>
      </c>
      <c r="B290" s="58" t="s">
        <v>35</v>
      </c>
      <c r="C290" s="58" t="s">
        <v>547</v>
      </c>
      <c r="D290" s="58" t="s">
        <v>546</v>
      </c>
      <c r="E290" s="58">
        <v>104.74</v>
      </c>
      <c r="F290" s="58"/>
      <c r="G290" s="58">
        <v>149504.44</v>
      </c>
    </row>
    <row r="291" spans="1:7" x14ac:dyDescent="0.2">
      <c r="A291" s="58" t="s">
        <v>546</v>
      </c>
      <c r="B291" s="58" t="s">
        <v>35</v>
      </c>
      <c r="C291" s="58" t="s">
        <v>548</v>
      </c>
      <c r="D291" s="58" t="s">
        <v>546</v>
      </c>
      <c r="E291" s="58">
        <v>85.41</v>
      </c>
      <c r="F291" s="58"/>
      <c r="G291" s="58">
        <v>149419.03</v>
      </c>
    </row>
    <row r="292" spans="1:7" x14ac:dyDescent="0.2">
      <c r="A292" s="58" t="s">
        <v>546</v>
      </c>
      <c r="B292" s="58" t="s">
        <v>36</v>
      </c>
      <c r="C292" s="58" t="s">
        <v>549</v>
      </c>
      <c r="D292" s="58" t="s">
        <v>546</v>
      </c>
      <c r="E292" s="58">
        <v>94</v>
      </c>
      <c r="F292" s="58"/>
      <c r="G292" s="58">
        <v>149325.03</v>
      </c>
    </row>
    <row r="293" spans="1:7" x14ac:dyDescent="0.2">
      <c r="A293" s="58" t="s">
        <v>546</v>
      </c>
      <c r="B293" s="58" t="s">
        <v>35</v>
      </c>
      <c r="C293" s="58" t="s">
        <v>550</v>
      </c>
      <c r="D293" s="58" t="s">
        <v>546</v>
      </c>
      <c r="E293" s="58">
        <v>198.53</v>
      </c>
      <c r="F293" s="58"/>
      <c r="G293" s="58">
        <v>149126.5</v>
      </c>
    </row>
    <row r="294" spans="1:7" x14ac:dyDescent="0.2">
      <c r="A294" s="58" t="s">
        <v>546</v>
      </c>
      <c r="B294" s="58" t="s">
        <v>52</v>
      </c>
      <c r="C294" s="58" t="s">
        <v>551</v>
      </c>
      <c r="D294" s="58" t="s">
        <v>546</v>
      </c>
      <c r="E294" s="58">
        <v>174</v>
      </c>
      <c r="F294" s="58"/>
      <c r="G294" s="58">
        <v>148952.5</v>
      </c>
    </row>
    <row r="295" spans="1:7" x14ac:dyDescent="0.2">
      <c r="A295" s="58" t="s">
        <v>546</v>
      </c>
      <c r="B295" s="58" t="s">
        <v>154</v>
      </c>
      <c r="C295" s="58" t="s">
        <v>552</v>
      </c>
      <c r="D295" s="58" t="s">
        <v>546</v>
      </c>
      <c r="E295" s="58">
        <v>1000</v>
      </c>
      <c r="F295" s="58"/>
      <c r="G295" s="58">
        <v>147952.5</v>
      </c>
    </row>
    <row r="296" spans="1:7" x14ac:dyDescent="0.2">
      <c r="A296" s="58" t="s">
        <v>553</v>
      </c>
      <c r="B296" s="58" t="s">
        <v>35</v>
      </c>
      <c r="C296" s="58" t="s">
        <v>554</v>
      </c>
      <c r="D296" s="58" t="s">
        <v>553</v>
      </c>
      <c r="E296" s="58">
        <v>164.39</v>
      </c>
      <c r="F296" s="58"/>
      <c r="G296" s="58">
        <v>147788.10999999999</v>
      </c>
    </row>
    <row r="297" spans="1:7" x14ac:dyDescent="0.2">
      <c r="A297" s="58" t="s">
        <v>553</v>
      </c>
      <c r="B297" s="58" t="s">
        <v>308</v>
      </c>
      <c r="C297" s="58" t="s">
        <v>555</v>
      </c>
      <c r="D297" s="58" t="s">
        <v>553</v>
      </c>
      <c r="E297" s="58">
        <v>110</v>
      </c>
      <c r="F297" s="58"/>
      <c r="G297" s="58">
        <v>147678.10999999999</v>
      </c>
    </row>
    <row r="298" spans="1:7" x14ac:dyDescent="0.2">
      <c r="A298" s="58" t="s">
        <v>553</v>
      </c>
      <c r="B298" s="58" t="s">
        <v>36</v>
      </c>
      <c r="C298" s="58" t="s">
        <v>556</v>
      </c>
      <c r="D298" s="58" t="s">
        <v>553</v>
      </c>
      <c r="E298" s="58">
        <v>94</v>
      </c>
      <c r="F298" s="58"/>
      <c r="G298" s="58">
        <v>147584.10999999999</v>
      </c>
    </row>
    <row r="299" spans="1:7" x14ac:dyDescent="0.2">
      <c r="A299" s="58" t="s">
        <v>553</v>
      </c>
      <c r="B299" s="58" t="s">
        <v>35</v>
      </c>
      <c r="C299" s="58" t="s">
        <v>557</v>
      </c>
      <c r="D299" s="58" t="s">
        <v>553</v>
      </c>
      <c r="E299" s="58">
        <v>171.01</v>
      </c>
      <c r="F299" s="58"/>
      <c r="G299" s="58">
        <v>147413.1</v>
      </c>
    </row>
    <row r="300" spans="1:7" x14ac:dyDescent="0.2">
      <c r="A300" s="58" t="s">
        <v>558</v>
      </c>
      <c r="B300" s="58" t="s">
        <v>35</v>
      </c>
      <c r="C300" s="58" t="s">
        <v>559</v>
      </c>
      <c r="D300" s="58" t="s">
        <v>558</v>
      </c>
      <c r="E300" s="58">
        <v>92.08</v>
      </c>
      <c r="F300" s="58"/>
      <c r="G300" s="58">
        <v>147321.01999999999</v>
      </c>
    </row>
    <row r="301" spans="1:7" x14ac:dyDescent="0.2">
      <c r="A301" s="58" t="s">
        <v>558</v>
      </c>
      <c r="B301" s="58" t="s">
        <v>36</v>
      </c>
      <c r="C301" s="58" t="s">
        <v>560</v>
      </c>
      <c r="D301" s="58" t="s">
        <v>558</v>
      </c>
      <c r="E301" s="58">
        <v>94</v>
      </c>
      <c r="F301" s="58"/>
      <c r="G301" s="58">
        <v>147227.01999999999</v>
      </c>
    </row>
    <row r="302" spans="1:7" x14ac:dyDescent="0.2">
      <c r="A302" s="58" t="s">
        <v>558</v>
      </c>
      <c r="B302" s="58" t="s">
        <v>172</v>
      </c>
      <c r="C302" s="58" t="s">
        <v>561</v>
      </c>
      <c r="D302" s="58" t="s">
        <v>558</v>
      </c>
      <c r="E302" s="58">
        <v>113</v>
      </c>
      <c r="F302" s="58"/>
      <c r="G302" s="58">
        <v>147114.01999999999</v>
      </c>
    </row>
    <row r="303" spans="1:7" x14ac:dyDescent="0.2">
      <c r="A303" s="58" t="s">
        <v>558</v>
      </c>
      <c r="B303" s="58" t="s">
        <v>35</v>
      </c>
      <c r="C303" s="58" t="s">
        <v>562</v>
      </c>
      <c r="D303" s="58" t="s">
        <v>558</v>
      </c>
      <c r="E303" s="58">
        <v>170.97</v>
      </c>
      <c r="F303" s="58"/>
      <c r="G303" s="58">
        <v>146943.04999999999</v>
      </c>
    </row>
    <row r="304" spans="1:7" x14ac:dyDescent="0.2">
      <c r="A304" s="58" t="s">
        <v>558</v>
      </c>
      <c r="B304" s="58" t="s">
        <v>563</v>
      </c>
      <c r="C304" s="58" t="s">
        <v>564</v>
      </c>
      <c r="D304" s="58" t="s">
        <v>558</v>
      </c>
      <c r="E304" s="58">
        <v>1908</v>
      </c>
      <c r="F304" s="58"/>
      <c r="G304" s="58">
        <v>145035.04999999999</v>
      </c>
    </row>
    <row r="305" spans="1:7" x14ac:dyDescent="0.2">
      <c r="A305" s="58" t="s">
        <v>565</v>
      </c>
      <c r="B305" s="58" t="s">
        <v>36</v>
      </c>
      <c r="C305" s="58" t="s">
        <v>566</v>
      </c>
      <c r="D305" s="58" t="s">
        <v>565</v>
      </c>
      <c r="E305" s="58">
        <v>94</v>
      </c>
      <c r="F305" s="58"/>
      <c r="G305" s="58">
        <v>144941.04999999999</v>
      </c>
    </row>
    <row r="306" spans="1:7" x14ac:dyDescent="0.2">
      <c r="A306" s="58" t="s">
        <v>565</v>
      </c>
      <c r="B306" s="58" t="s">
        <v>35</v>
      </c>
      <c r="C306" s="58" t="s">
        <v>567</v>
      </c>
      <c r="D306" s="58" t="s">
        <v>565</v>
      </c>
      <c r="E306" s="58">
        <v>75.72</v>
      </c>
      <c r="F306" s="58"/>
      <c r="G306" s="58">
        <v>144865.32999999999</v>
      </c>
    </row>
    <row r="307" spans="1:7" x14ac:dyDescent="0.2">
      <c r="A307" s="58" t="s">
        <v>568</v>
      </c>
      <c r="B307" s="58" t="s">
        <v>35</v>
      </c>
      <c r="C307" s="58" t="s">
        <v>569</v>
      </c>
      <c r="D307" s="58" t="s">
        <v>568</v>
      </c>
      <c r="E307" s="58">
        <v>198.53</v>
      </c>
      <c r="F307" s="58"/>
      <c r="G307" s="58">
        <v>144666.79999999999</v>
      </c>
    </row>
    <row r="308" spans="1:7" x14ac:dyDescent="0.2">
      <c r="A308" s="58" t="s">
        <v>568</v>
      </c>
      <c r="B308" s="58" t="s">
        <v>65</v>
      </c>
      <c r="C308" s="58" t="s">
        <v>570</v>
      </c>
      <c r="D308" s="58" t="s">
        <v>568</v>
      </c>
      <c r="E308" s="58">
        <v>379</v>
      </c>
      <c r="F308" s="58"/>
      <c r="G308" s="58">
        <v>144287.79999999999</v>
      </c>
    </row>
    <row r="309" spans="1:7" x14ac:dyDescent="0.2">
      <c r="A309" s="58" t="s">
        <v>568</v>
      </c>
      <c r="B309" s="58" t="s">
        <v>65</v>
      </c>
      <c r="C309" s="58" t="s">
        <v>571</v>
      </c>
      <c r="D309" s="58" t="s">
        <v>568</v>
      </c>
      <c r="E309" s="58">
        <v>60</v>
      </c>
      <c r="F309" s="58"/>
      <c r="G309" s="58">
        <v>144227.79999999999</v>
      </c>
    </row>
    <row r="310" spans="1:7" x14ac:dyDescent="0.2">
      <c r="A310" s="58" t="s">
        <v>568</v>
      </c>
      <c r="B310" s="58" t="s">
        <v>572</v>
      </c>
      <c r="C310" s="58" t="s">
        <v>573</v>
      </c>
      <c r="D310" s="58" t="s">
        <v>568</v>
      </c>
      <c r="E310" s="58">
        <v>667</v>
      </c>
      <c r="F310" s="58"/>
      <c r="G310" s="58">
        <v>143560.79999999999</v>
      </c>
    </row>
    <row r="311" spans="1:7" x14ac:dyDescent="0.2">
      <c r="A311" s="58" t="s">
        <v>568</v>
      </c>
      <c r="B311" s="58" t="s">
        <v>35</v>
      </c>
      <c r="C311" s="58" t="s">
        <v>574</v>
      </c>
      <c r="D311" s="58" t="s">
        <v>568</v>
      </c>
      <c r="E311" s="58">
        <v>177.87</v>
      </c>
      <c r="F311" s="58"/>
      <c r="G311" s="58">
        <v>143382.93</v>
      </c>
    </row>
    <row r="312" spans="1:7" x14ac:dyDescent="0.2">
      <c r="A312" s="58" t="s">
        <v>575</v>
      </c>
      <c r="B312" s="58" t="s">
        <v>576</v>
      </c>
      <c r="C312" s="58" t="s">
        <v>577</v>
      </c>
      <c r="D312" s="58" t="s">
        <v>575</v>
      </c>
      <c r="E312" s="58">
        <v>131</v>
      </c>
      <c r="F312" s="58"/>
      <c r="G312" s="58">
        <v>143251.93</v>
      </c>
    </row>
    <row r="313" spans="1:7" x14ac:dyDescent="0.2">
      <c r="A313" s="58" t="s">
        <v>575</v>
      </c>
      <c r="B313" s="58" t="s">
        <v>576</v>
      </c>
      <c r="C313" s="58" t="s">
        <v>578</v>
      </c>
      <c r="D313" s="58" t="s">
        <v>575</v>
      </c>
      <c r="E313" s="58">
        <v>131</v>
      </c>
      <c r="F313" s="58"/>
      <c r="G313" s="58">
        <v>143120.93</v>
      </c>
    </row>
    <row r="314" spans="1:7" x14ac:dyDescent="0.2">
      <c r="A314" s="58" t="s">
        <v>575</v>
      </c>
      <c r="B314" s="58" t="s">
        <v>167</v>
      </c>
      <c r="C314" s="58" t="s">
        <v>579</v>
      </c>
      <c r="D314" s="58" t="s">
        <v>575</v>
      </c>
      <c r="E314" s="58">
        <v>470</v>
      </c>
      <c r="F314" s="58"/>
      <c r="G314" s="58">
        <v>142650.93</v>
      </c>
    </row>
    <row r="315" spans="1:7" x14ac:dyDescent="0.2">
      <c r="A315" s="58" t="s">
        <v>575</v>
      </c>
      <c r="B315" s="58" t="s">
        <v>580</v>
      </c>
      <c r="C315" s="58" t="s">
        <v>581</v>
      </c>
      <c r="D315" s="58" t="s">
        <v>575</v>
      </c>
      <c r="E315" s="58">
        <v>3000</v>
      </c>
      <c r="F315" s="58"/>
      <c r="G315" s="58">
        <v>139650.93</v>
      </c>
    </row>
    <row r="316" spans="1:7" x14ac:dyDescent="0.2">
      <c r="A316" s="58" t="s">
        <v>575</v>
      </c>
      <c r="B316" s="58" t="s">
        <v>582</v>
      </c>
      <c r="C316" s="58" t="s">
        <v>583</v>
      </c>
      <c r="D316" s="58" t="s">
        <v>575</v>
      </c>
      <c r="E316" s="58">
        <v>1500</v>
      </c>
      <c r="F316" s="58"/>
      <c r="G316" s="58">
        <v>138150.93</v>
      </c>
    </row>
    <row r="317" spans="1:7" x14ac:dyDescent="0.2">
      <c r="A317" s="58" t="s">
        <v>584</v>
      </c>
      <c r="B317" s="58" t="s">
        <v>35</v>
      </c>
      <c r="C317" s="58" t="s">
        <v>585</v>
      </c>
      <c r="D317" s="58" t="s">
        <v>584</v>
      </c>
      <c r="E317" s="58">
        <v>297.12</v>
      </c>
      <c r="F317" s="58"/>
      <c r="G317" s="58">
        <v>137853.81</v>
      </c>
    </row>
    <row r="318" spans="1:7" x14ac:dyDescent="0.2">
      <c r="A318" s="58" t="s">
        <v>584</v>
      </c>
      <c r="B318" s="58" t="s">
        <v>154</v>
      </c>
      <c r="C318" s="58" t="s">
        <v>586</v>
      </c>
      <c r="D318" s="58" t="s">
        <v>584</v>
      </c>
      <c r="E318" s="58">
        <v>4000</v>
      </c>
      <c r="F318" s="58"/>
      <c r="G318" s="58">
        <v>133853.81</v>
      </c>
    </row>
    <row r="319" spans="1:7" x14ac:dyDescent="0.2">
      <c r="A319" s="58" t="s">
        <v>584</v>
      </c>
      <c r="B319" s="58" t="s">
        <v>587</v>
      </c>
      <c r="C319" s="58" t="s">
        <v>588</v>
      </c>
      <c r="D319" s="58" t="s">
        <v>584</v>
      </c>
      <c r="E319" s="58">
        <v>300</v>
      </c>
      <c r="F319" s="58"/>
      <c r="G319" s="58">
        <v>133553.81</v>
      </c>
    </row>
    <row r="320" spans="1:7" x14ac:dyDescent="0.2">
      <c r="A320" s="58" t="s">
        <v>584</v>
      </c>
      <c r="B320" s="58" t="s">
        <v>589</v>
      </c>
      <c r="C320" s="58" t="s">
        <v>590</v>
      </c>
      <c r="D320" s="58" t="s">
        <v>584</v>
      </c>
      <c r="E320" s="58">
        <v>367</v>
      </c>
      <c r="F320" s="58"/>
      <c r="G320" s="58">
        <v>133186.81</v>
      </c>
    </row>
    <row r="321" spans="1:7" x14ac:dyDescent="0.2">
      <c r="A321" s="58" t="s">
        <v>584</v>
      </c>
      <c r="B321" s="58" t="s">
        <v>591</v>
      </c>
      <c r="C321" s="58" t="s">
        <v>592</v>
      </c>
      <c r="D321" s="58" t="s">
        <v>593</v>
      </c>
      <c r="E321" s="58">
        <v>1300</v>
      </c>
      <c r="F321" s="58"/>
      <c r="G321" s="58">
        <v>131886.81</v>
      </c>
    </row>
    <row r="322" spans="1:7" x14ac:dyDescent="0.2">
      <c r="A322" s="58" t="s">
        <v>593</v>
      </c>
      <c r="B322" s="58" t="s">
        <v>35</v>
      </c>
      <c r="C322" s="58" t="s">
        <v>594</v>
      </c>
      <c r="D322" s="58" t="s">
        <v>593</v>
      </c>
      <c r="E322" s="58">
        <v>50.04</v>
      </c>
      <c r="F322" s="58"/>
      <c r="G322" s="58">
        <v>131836.76999999999</v>
      </c>
    </row>
    <row r="323" spans="1:7" x14ac:dyDescent="0.2">
      <c r="A323" s="58" t="s">
        <v>593</v>
      </c>
      <c r="B323" s="58" t="s">
        <v>36</v>
      </c>
      <c r="C323" s="58" t="s">
        <v>595</v>
      </c>
      <c r="D323" s="58" t="s">
        <v>593</v>
      </c>
      <c r="E323" s="58">
        <v>94</v>
      </c>
      <c r="F323" s="58"/>
      <c r="G323" s="58">
        <v>131742.76999999999</v>
      </c>
    </row>
    <row r="324" spans="1:7" x14ac:dyDescent="0.2">
      <c r="A324" s="58" t="s">
        <v>593</v>
      </c>
      <c r="B324" s="58" t="s">
        <v>85</v>
      </c>
      <c r="C324" s="58" t="s">
        <v>596</v>
      </c>
      <c r="D324" s="58" t="s">
        <v>593</v>
      </c>
      <c r="E324" s="58">
        <v>177</v>
      </c>
      <c r="F324" s="58"/>
      <c r="G324" s="58">
        <v>131565.76999999999</v>
      </c>
    </row>
    <row r="325" spans="1:7" x14ac:dyDescent="0.2">
      <c r="A325" s="58" t="s">
        <v>593</v>
      </c>
      <c r="B325" s="58" t="s">
        <v>35</v>
      </c>
      <c r="C325" s="58" t="s">
        <v>597</v>
      </c>
      <c r="D325" s="58" t="s">
        <v>593</v>
      </c>
      <c r="E325" s="58">
        <v>194.95</v>
      </c>
      <c r="F325" s="58"/>
      <c r="G325" s="58">
        <v>131370.82</v>
      </c>
    </row>
    <row r="326" spans="1:7" x14ac:dyDescent="0.2">
      <c r="A326" s="58" t="s">
        <v>598</v>
      </c>
      <c r="B326" s="58" t="s">
        <v>599</v>
      </c>
      <c r="C326" s="58" t="s">
        <v>600</v>
      </c>
      <c r="D326" s="58" t="s">
        <v>598</v>
      </c>
      <c r="E326" s="58">
        <v>32883.5</v>
      </c>
      <c r="F326" s="58"/>
      <c r="G326" s="58">
        <v>98487.32</v>
      </c>
    </row>
    <row r="327" spans="1:7" x14ac:dyDescent="0.2">
      <c r="A327" s="58" t="s">
        <v>598</v>
      </c>
      <c r="B327" s="58" t="s">
        <v>52</v>
      </c>
      <c r="C327" s="58" t="s">
        <v>601</v>
      </c>
      <c r="D327" s="58" t="s">
        <v>598</v>
      </c>
      <c r="E327" s="58">
        <v>239</v>
      </c>
      <c r="F327" s="58"/>
      <c r="G327" s="58">
        <v>98248.320000000007</v>
      </c>
    </row>
    <row r="328" spans="1:7" x14ac:dyDescent="0.2">
      <c r="A328" s="58" t="s">
        <v>602</v>
      </c>
      <c r="B328" s="58" t="s">
        <v>35</v>
      </c>
      <c r="C328" s="58" t="s">
        <v>603</v>
      </c>
      <c r="D328" s="58" t="s">
        <v>602</v>
      </c>
      <c r="E328" s="58">
        <v>161.31</v>
      </c>
      <c r="F328" s="58"/>
      <c r="G328" s="58">
        <v>98087.01</v>
      </c>
    </row>
    <row r="329" spans="1:7" x14ac:dyDescent="0.2">
      <c r="A329" s="58" t="s">
        <v>602</v>
      </c>
      <c r="B329" s="58" t="s">
        <v>65</v>
      </c>
      <c r="C329" s="58" t="s">
        <v>604</v>
      </c>
      <c r="D329" s="58" t="s">
        <v>602</v>
      </c>
      <c r="E329" s="58">
        <v>453</v>
      </c>
      <c r="F329" s="58"/>
      <c r="G329" s="58">
        <v>97634.01</v>
      </c>
    </row>
    <row r="330" spans="1:7" x14ac:dyDescent="0.2">
      <c r="A330" s="58" t="s">
        <v>602</v>
      </c>
      <c r="B330" s="58" t="s">
        <v>54</v>
      </c>
      <c r="C330" s="58" t="s">
        <v>605</v>
      </c>
      <c r="D330" s="58" t="s">
        <v>602</v>
      </c>
      <c r="E330" s="58">
        <v>130</v>
      </c>
      <c r="F330" s="58"/>
      <c r="G330" s="58">
        <v>97504.01</v>
      </c>
    </row>
    <row r="331" spans="1:7" x14ac:dyDescent="0.2">
      <c r="A331" s="58" t="s">
        <v>602</v>
      </c>
      <c r="B331" s="58" t="s">
        <v>152</v>
      </c>
      <c r="C331" s="58" t="s">
        <v>606</v>
      </c>
      <c r="D331" s="58" t="s">
        <v>602</v>
      </c>
      <c r="E331" s="58">
        <v>150</v>
      </c>
      <c r="F331" s="58"/>
      <c r="G331" s="58">
        <v>97354.01</v>
      </c>
    </row>
    <row r="332" spans="1:7" x14ac:dyDescent="0.2">
      <c r="A332" s="58" t="s">
        <v>602</v>
      </c>
      <c r="B332" s="58" t="s">
        <v>280</v>
      </c>
      <c r="C332" s="58" t="s">
        <v>607</v>
      </c>
      <c r="D332" s="58" t="s">
        <v>602</v>
      </c>
      <c r="E332" s="58">
        <v>1200</v>
      </c>
      <c r="F332" s="58"/>
      <c r="G332" s="58">
        <v>96154.01</v>
      </c>
    </row>
    <row r="333" spans="1:7" x14ac:dyDescent="0.2">
      <c r="A333" s="58" t="s">
        <v>608</v>
      </c>
      <c r="B333" s="58" t="s">
        <v>35</v>
      </c>
      <c r="C333" s="58" t="s">
        <v>609</v>
      </c>
      <c r="D333" s="58" t="s">
        <v>608</v>
      </c>
      <c r="E333" s="58">
        <v>180.56</v>
      </c>
      <c r="F333" s="58"/>
      <c r="G333" s="58">
        <v>95973.45</v>
      </c>
    </row>
    <row r="334" spans="1:7" x14ac:dyDescent="0.2">
      <c r="A334" s="58" t="s">
        <v>608</v>
      </c>
      <c r="B334" s="58" t="s">
        <v>35</v>
      </c>
      <c r="C334" s="58" t="s">
        <v>610</v>
      </c>
      <c r="D334" s="58" t="s">
        <v>608</v>
      </c>
      <c r="E334" s="58">
        <v>50.11</v>
      </c>
      <c r="F334" s="58"/>
      <c r="G334" s="58">
        <v>95923.34</v>
      </c>
    </row>
    <row r="335" spans="1:7" x14ac:dyDescent="0.2">
      <c r="A335" s="58" t="s">
        <v>608</v>
      </c>
      <c r="B335" s="58" t="s">
        <v>36</v>
      </c>
      <c r="C335" s="58" t="s">
        <v>611</v>
      </c>
      <c r="D335" s="58" t="s">
        <v>608</v>
      </c>
      <c r="E335" s="58">
        <v>94</v>
      </c>
      <c r="F335" s="58"/>
      <c r="G335" s="58">
        <v>95829.34</v>
      </c>
    </row>
    <row r="336" spans="1:7" x14ac:dyDescent="0.2">
      <c r="A336" s="58" t="s">
        <v>608</v>
      </c>
      <c r="B336" s="58" t="s">
        <v>308</v>
      </c>
      <c r="C336" s="58" t="s">
        <v>612</v>
      </c>
      <c r="D336" s="58" t="s">
        <v>608</v>
      </c>
      <c r="E336" s="58">
        <v>348</v>
      </c>
      <c r="F336" s="58"/>
      <c r="G336" s="58">
        <v>95481.34</v>
      </c>
    </row>
    <row r="337" spans="1:7" x14ac:dyDescent="0.2">
      <c r="A337" s="58" t="s">
        <v>608</v>
      </c>
      <c r="B337" s="58" t="s">
        <v>613</v>
      </c>
      <c r="C337" s="58" t="s">
        <v>614</v>
      </c>
      <c r="D337" s="58" t="s">
        <v>608</v>
      </c>
      <c r="E337" s="58">
        <v>1000</v>
      </c>
      <c r="F337" s="58"/>
      <c r="G337" s="58">
        <v>94481.34</v>
      </c>
    </row>
    <row r="338" spans="1:7" x14ac:dyDescent="0.2">
      <c r="A338" s="58" t="s">
        <v>608</v>
      </c>
      <c r="B338" s="58" t="s">
        <v>345</v>
      </c>
      <c r="C338" s="58" t="s">
        <v>615</v>
      </c>
      <c r="D338" s="58" t="s">
        <v>608</v>
      </c>
      <c r="E338" s="58">
        <v>2915</v>
      </c>
      <c r="F338" s="58"/>
      <c r="G338" s="58">
        <v>91566.34</v>
      </c>
    </row>
    <row r="339" spans="1:7" x14ac:dyDescent="0.2">
      <c r="A339" s="58" t="s">
        <v>616</v>
      </c>
      <c r="B339" s="58" t="s">
        <v>35</v>
      </c>
      <c r="C339" s="58" t="s">
        <v>617</v>
      </c>
      <c r="D339" s="58" t="s">
        <v>616</v>
      </c>
      <c r="E339" s="58">
        <v>161.97999999999999</v>
      </c>
      <c r="F339" s="58"/>
      <c r="G339" s="58">
        <v>91404.36</v>
      </c>
    </row>
    <row r="340" spans="1:7" x14ac:dyDescent="0.2">
      <c r="A340" s="58" t="s">
        <v>616</v>
      </c>
      <c r="B340" s="58" t="s">
        <v>36</v>
      </c>
      <c r="C340" s="58" t="s">
        <v>618</v>
      </c>
      <c r="D340" s="58" t="s">
        <v>616</v>
      </c>
      <c r="E340" s="58">
        <v>94</v>
      </c>
      <c r="F340" s="58"/>
      <c r="G340" s="58">
        <v>91310.36</v>
      </c>
    </row>
    <row r="341" spans="1:7" x14ac:dyDescent="0.2">
      <c r="A341" s="58" t="s">
        <v>616</v>
      </c>
      <c r="B341" s="58" t="s">
        <v>54</v>
      </c>
      <c r="C341" s="58" t="s">
        <v>619</v>
      </c>
      <c r="D341" s="58" t="s">
        <v>616</v>
      </c>
      <c r="E341" s="58">
        <v>130</v>
      </c>
      <c r="F341" s="58"/>
      <c r="G341" s="58">
        <v>91180.36</v>
      </c>
    </row>
    <row r="342" spans="1:7" x14ac:dyDescent="0.2">
      <c r="A342" s="58" t="s">
        <v>616</v>
      </c>
      <c r="B342" s="58" t="s">
        <v>35</v>
      </c>
      <c r="C342" s="58" t="s">
        <v>620</v>
      </c>
      <c r="D342" s="58" t="s">
        <v>616</v>
      </c>
      <c r="E342" s="58">
        <v>106.15</v>
      </c>
      <c r="F342" s="58"/>
      <c r="G342" s="58">
        <v>91074.21</v>
      </c>
    </row>
    <row r="343" spans="1:7" x14ac:dyDescent="0.2">
      <c r="A343" s="58" t="s">
        <v>616</v>
      </c>
      <c r="B343" s="58" t="s">
        <v>290</v>
      </c>
      <c r="C343" s="58" t="s">
        <v>621</v>
      </c>
      <c r="D343" s="58" t="s">
        <v>616</v>
      </c>
      <c r="E343" s="58">
        <v>2000</v>
      </c>
      <c r="F343" s="58"/>
      <c r="G343" s="58">
        <v>89074.21</v>
      </c>
    </row>
    <row r="344" spans="1:7" x14ac:dyDescent="0.2">
      <c r="A344" s="58" t="s">
        <v>616</v>
      </c>
      <c r="B344" s="58" t="s">
        <v>47</v>
      </c>
      <c r="C344" s="58" t="s">
        <v>622</v>
      </c>
      <c r="D344" s="58" t="s">
        <v>616</v>
      </c>
      <c r="E344" s="58">
        <v>1050</v>
      </c>
      <c r="F344" s="58"/>
      <c r="G344" s="58">
        <v>88024.21</v>
      </c>
    </row>
    <row r="345" spans="1:7" x14ac:dyDescent="0.2">
      <c r="A345" s="58" t="s">
        <v>616</v>
      </c>
      <c r="B345" s="58" t="s">
        <v>35</v>
      </c>
      <c r="C345" s="58" t="s">
        <v>623</v>
      </c>
      <c r="D345" s="58" t="s">
        <v>616</v>
      </c>
      <c r="E345" s="58">
        <v>166.43</v>
      </c>
      <c r="F345" s="58"/>
      <c r="G345" s="58">
        <v>87857.78</v>
      </c>
    </row>
    <row r="346" spans="1:7" x14ac:dyDescent="0.2">
      <c r="A346" s="58" t="s">
        <v>624</v>
      </c>
      <c r="B346" s="58" t="s">
        <v>35</v>
      </c>
      <c r="C346" s="58" t="s">
        <v>625</v>
      </c>
      <c r="D346" s="58" t="s">
        <v>624</v>
      </c>
      <c r="E346" s="58">
        <v>111.95</v>
      </c>
      <c r="F346" s="58"/>
      <c r="G346" s="58">
        <v>87745.83</v>
      </c>
    </row>
    <row r="347" spans="1:7" x14ac:dyDescent="0.2">
      <c r="A347" s="58" t="s">
        <v>624</v>
      </c>
      <c r="B347" s="58" t="s">
        <v>626</v>
      </c>
      <c r="C347" s="58" t="s">
        <v>627</v>
      </c>
      <c r="D347" s="58" t="s">
        <v>624</v>
      </c>
      <c r="E347" s="58">
        <v>2000</v>
      </c>
      <c r="F347" s="58"/>
      <c r="G347" s="58">
        <v>85745.83</v>
      </c>
    </row>
    <row r="348" spans="1:7" x14ac:dyDescent="0.2">
      <c r="A348" s="58" t="s">
        <v>624</v>
      </c>
      <c r="B348" s="58" t="s">
        <v>54</v>
      </c>
      <c r="C348" s="58" t="s">
        <v>628</v>
      </c>
      <c r="D348" s="58" t="s">
        <v>624</v>
      </c>
      <c r="E348" s="58">
        <v>195</v>
      </c>
      <c r="F348" s="58"/>
      <c r="G348" s="58">
        <v>85550.83</v>
      </c>
    </row>
    <row r="349" spans="1:7" x14ac:dyDescent="0.2">
      <c r="A349" s="58" t="s">
        <v>624</v>
      </c>
      <c r="B349" s="58" t="s">
        <v>629</v>
      </c>
      <c r="C349" s="58" t="s">
        <v>630</v>
      </c>
      <c r="D349" s="58" t="s">
        <v>624</v>
      </c>
      <c r="E349" s="58">
        <v>2205.88</v>
      </c>
      <c r="F349" s="58"/>
      <c r="G349" s="58">
        <v>83344.95</v>
      </c>
    </row>
    <row r="350" spans="1:7" x14ac:dyDescent="0.2">
      <c r="A350" s="58" t="s">
        <v>624</v>
      </c>
      <c r="B350" s="58" t="s">
        <v>436</v>
      </c>
      <c r="C350" s="58" t="s">
        <v>631</v>
      </c>
      <c r="D350" s="58" t="s">
        <v>624</v>
      </c>
      <c r="E350" s="58">
        <v>100</v>
      </c>
      <c r="F350" s="58"/>
      <c r="G350" s="58">
        <v>83244.95</v>
      </c>
    </row>
    <row r="351" spans="1:7" x14ac:dyDescent="0.2">
      <c r="A351" s="58" t="s">
        <v>624</v>
      </c>
      <c r="B351" s="58" t="s">
        <v>35</v>
      </c>
      <c r="C351" s="58" t="s">
        <v>632</v>
      </c>
      <c r="D351" s="58" t="s">
        <v>624</v>
      </c>
      <c r="E351" s="58">
        <v>94.99</v>
      </c>
      <c r="F351" s="58"/>
      <c r="G351" s="58">
        <v>83149.960000000006</v>
      </c>
    </row>
    <row r="352" spans="1:7" x14ac:dyDescent="0.2">
      <c r="A352" s="58" t="s">
        <v>624</v>
      </c>
      <c r="B352" s="58" t="s">
        <v>633</v>
      </c>
      <c r="C352" s="58" t="s">
        <v>634</v>
      </c>
      <c r="D352" s="58" t="s">
        <v>624</v>
      </c>
      <c r="E352" s="58">
        <v>1511</v>
      </c>
      <c r="F352" s="58"/>
      <c r="G352" s="58">
        <v>81638.960000000006</v>
      </c>
    </row>
    <row r="353" spans="1:7" x14ac:dyDescent="0.2">
      <c r="A353" s="58" t="s">
        <v>635</v>
      </c>
      <c r="B353" s="58" t="s">
        <v>636</v>
      </c>
      <c r="C353" s="58" t="s">
        <v>637</v>
      </c>
      <c r="D353" s="58" t="s">
        <v>635</v>
      </c>
      <c r="E353" s="58">
        <v>1600</v>
      </c>
      <c r="F353" s="58"/>
      <c r="G353" s="58">
        <v>80038.960000000006</v>
      </c>
    </row>
    <row r="354" spans="1:7" x14ac:dyDescent="0.2">
      <c r="A354" s="58" t="s">
        <v>635</v>
      </c>
      <c r="B354" s="58" t="s">
        <v>638</v>
      </c>
      <c r="C354" s="58" t="s">
        <v>639</v>
      </c>
      <c r="D354" s="58" t="s">
        <v>635</v>
      </c>
      <c r="E354" s="58">
        <v>425</v>
      </c>
      <c r="F354" s="58"/>
      <c r="G354" s="58">
        <v>79613.960000000006</v>
      </c>
    </row>
    <row r="355" spans="1:7" x14ac:dyDescent="0.2">
      <c r="A355" s="58" t="s">
        <v>635</v>
      </c>
      <c r="B355" s="58" t="s">
        <v>640</v>
      </c>
      <c r="C355" s="58" t="s">
        <v>641</v>
      </c>
      <c r="D355" s="58" t="s">
        <v>635</v>
      </c>
      <c r="E355" s="58">
        <v>407</v>
      </c>
      <c r="F355" s="58"/>
      <c r="G355" s="58">
        <v>79206.960000000006</v>
      </c>
    </row>
    <row r="356" spans="1:7" x14ac:dyDescent="0.2">
      <c r="A356" s="58" t="s">
        <v>635</v>
      </c>
      <c r="B356" s="58" t="s">
        <v>35</v>
      </c>
      <c r="C356" s="58" t="s">
        <v>642</v>
      </c>
      <c r="D356" s="58" t="s">
        <v>635</v>
      </c>
      <c r="E356" s="58">
        <v>123.26</v>
      </c>
      <c r="F356" s="58"/>
      <c r="G356" s="58">
        <v>79083.7</v>
      </c>
    </row>
    <row r="357" spans="1:7" x14ac:dyDescent="0.2">
      <c r="A357" s="58" t="s">
        <v>635</v>
      </c>
      <c r="B357" s="58" t="s">
        <v>643</v>
      </c>
      <c r="C357" s="58" t="s">
        <v>644</v>
      </c>
      <c r="D357" s="58" t="s">
        <v>645</v>
      </c>
      <c r="E357" s="58">
        <v>390</v>
      </c>
      <c r="F357" s="58"/>
      <c r="G357" s="58">
        <v>78693.7</v>
      </c>
    </row>
    <row r="358" spans="1:7" x14ac:dyDescent="0.2">
      <c r="A358" s="58" t="s">
        <v>645</v>
      </c>
      <c r="B358" s="58" t="s">
        <v>646</v>
      </c>
      <c r="C358" s="58" t="s">
        <v>647</v>
      </c>
      <c r="D358" s="58" t="s">
        <v>645</v>
      </c>
      <c r="E358" s="58">
        <v>9000</v>
      </c>
      <c r="F358" s="58"/>
      <c r="G358" s="58">
        <v>69693.7</v>
      </c>
    </row>
    <row r="359" spans="1:7" x14ac:dyDescent="0.2">
      <c r="A359" s="58" t="s">
        <v>648</v>
      </c>
      <c r="B359" s="58" t="s">
        <v>649</v>
      </c>
      <c r="C359" s="58" t="s">
        <v>650</v>
      </c>
      <c r="D359" s="58" t="s">
        <v>648</v>
      </c>
      <c r="E359" s="58">
        <v>3000</v>
      </c>
      <c r="F359" s="58"/>
      <c r="G359" s="58">
        <v>66693.7</v>
      </c>
    </row>
    <row r="360" spans="1:7" x14ac:dyDescent="0.2">
      <c r="A360" s="58" t="s">
        <v>648</v>
      </c>
      <c r="B360" s="58" t="s">
        <v>651</v>
      </c>
      <c r="C360" s="58" t="s">
        <v>652</v>
      </c>
      <c r="D360" s="58" t="s">
        <v>648</v>
      </c>
      <c r="E360" s="58">
        <v>6623</v>
      </c>
      <c r="F360" s="58"/>
      <c r="G360" s="58">
        <v>60070.7</v>
      </c>
    </row>
    <row r="361" spans="1:7" x14ac:dyDescent="0.2">
      <c r="A361" s="58" t="s">
        <v>648</v>
      </c>
      <c r="B361" s="58" t="s">
        <v>653</v>
      </c>
      <c r="C361" s="58" t="s">
        <v>654</v>
      </c>
      <c r="D361" s="58" t="s">
        <v>648</v>
      </c>
      <c r="E361" s="58">
        <v>5947</v>
      </c>
      <c r="F361" s="58"/>
      <c r="G361" s="58">
        <v>54123.7</v>
      </c>
    </row>
    <row r="362" spans="1:7" x14ac:dyDescent="0.2">
      <c r="A362" s="58" t="s">
        <v>655</v>
      </c>
      <c r="B362" s="58" t="s">
        <v>656</v>
      </c>
      <c r="C362" s="58" t="s">
        <v>657</v>
      </c>
      <c r="D362" s="58" t="s">
        <v>655</v>
      </c>
      <c r="E362" s="58">
        <v>9000</v>
      </c>
      <c r="F362" s="58"/>
      <c r="G362" s="58">
        <v>45123.7</v>
      </c>
    </row>
    <row r="363" spans="1:7" x14ac:dyDescent="0.2">
      <c r="A363" s="58" t="s">
        <v>655</v>
      </c>
      <c r="B363" s="58" t="s">
        <v>658</v>
      </c>
      <c r="C363" s="58" t="s">
        <v>659</v>
      </c>
      <c r="D363" s="58" t="s">
        <v>655</v>
      </c>
      <c r="E363" s="58">
        <v>3234</v>
      </c>
      <c r="F363" s="58"/>
      <c r="G363" s="58">
        <v>41889.699999999997</v>
      </c>
    </row>
    <row r="364" spans="1:7" x14ac:dyDescent="0.2">
      <c r="A364" s="58" t="s">
        <v>660</v>
      </c>
      <c r="B364" s="58" t="s">
        <v>661</v>
      </c>
      <c r="C364" s="58" t="s">
        <v>662</v>
      </c>
      <c r="D364" s="58" t="s">
        <v>660</v>
      </c>
      <c r="E364" s="58">
        <v>2650</v>
      </c>
      <c r="F364" s="58"/>
      <c r="G364" s="58">
        <v>39239.699999999997</v>
      </c>
    </row>
    <row r="365" spans="1:7" x14ac:dyDescent="0.2">
      <c r="A365" s="58" t="s">
        <v>663</v>
      </c>
      <c r="B365" s="58" t="s">
        <v>664</v>
      </c>
      <c r="C365" s="58" t="s">
        <v>665</v>
      </c>
      <c r="D365" s="58" t="s">
        <v>663</v>
      </c>
      <c r="E365" s="58">
        <v>624</v>
      </c>
      <c r="F365" s="58"/>
      <c r="G365" s="58">
        <v>38615.699999999997</v>
      </c>
    </row>
    <row r="366" spans="1:7" x14ac:dyDescent="0.2">
      <c r="A366" s="58" t="s">
        <v>663</v>
      </c>
      <c r="B366" s="58" t="s">
        <v>666</v>
      </c>
      <c r="C366" s="58" t="s">
        <v>667</v>
      </c>
      <c r="D366" s="58" t="s">
        <v>663</v>
      </c>
      <c r="E366" s="58">
        <v>3000</v>
      </c>
      <c r="F366" s="58"/>
      <c r="G366" s="58">
        <v>35615.699999999997</v>
      </c>
    </row>
    <row r="367" spans="1:7" x14ac:dyDescent="0.2">
      <c r="A367" s="58" t="s">
        <v>668</v>
      </c>
      <c r="B367" s="58" t="s">
        <v>669</v>
      </c>
      <c r="C367" s="58" t="s">
        <v>670</v>
      </c>
      <c r="D367" s="58" t="s">
        <v>668</v>
      </c>
      <c r="E367" s="58">
        <v>5000</v>
      </c>
      <c r="F367" s="58"/>
      <c r="G367" s="58">
        <v>30615.7</v>
      </c>
    </row>
    <row r="368" spans="1:7" x14ac:dyDescent="0.2">
      <c r="A368" s="58" t="s">
        <v>668</v>
      </c>
      <c r="B368" s="58" t="s">
        <v>671</v>
      </c>
      <c r="C368" s="58" t="s">
        <v>672</v>
      </c>
      <c r="D368" s="58" t="s">
        <v>668</v>
      </c>
      <c r="E368" s="58"/>
      <c r="F368" s="58">
        <v>111298</v>
      </c>
      <c r="G368" s="58">
        <v>141913.70000000001</v>
      </c>
    </row>
    <row r="369" spans="1:7" x14ac:dyDescent="0.2">
      <c r="A369" s="58" t="s">
        <v>668</v>
      </c>
      <c r="B369" s="58" t="s">
        <v>673</v>
      </c>
      <c r="C369" s="58" t="s">
        <v>674</v>
      </c>
      <c r="D369" s="58" t="s">
        <v>668</v>
      </c>
      <c r="E369" s="58">
        <v>2998</v>
      </c>
      <c r="F369" s="58"/>
      <c r="G369" s="58">
        <v>138915.70000000001</v>
      </c>
    </row>
    <row r="370" spans="1:7" x14ac:dyDescent="0.2">
      <c r="A370" s="58" t="s">
        <v>675</v>
      </c>
      <c r="B370" s="58" t="s">
        <v>676</v>
      </c>
      <c r="C370" s="58" t="s">
        <v>677</v>
      </c>
      <c r="D370" s="58" t="s">
        <v>675</v>
      </c>
      <c r="E370" s="58">
        <v>5000</v>
      </c>
      <c r="F370" s="58"/>
      <c r="G370" s="58">
        <v>133915.70000000001</v>
      </c>
    </row>
    <row r="371" spans="1:7" x14ac:dyDescent="0.2">
      <c r="A371" s="58" t="s">
        <v>679</v>
      </c>
      <c r="B371" s="58" t="s">
        <v>36</v>
      </c>
      <c r="C371" s="58" t="s">
        <v>680</v>
      </c>
      <c r="D371" s="58" t="s">
        <v>679</v>
      </c>
      <c r="E371" s="58">
        <v>94</v>
      </c>
      <c r="F371" s="58"/>
      <c r="G371" s="58">
        <v>133821.70000000001</v>
      </c>
    </row>
    <row r="372" spans="1:7" x14ac:dyDescent="0.2">
      <c r="A372" s="58" t="s">
        <v>679</v>
      </c>
      <c r="B372" s="58" t="s">
        <v>35</v>
      </c>
      <c r="C372" s="58" t="s">
        <v>681</v>
      </c>
      <c r="D372" s="58" t="s">
        <v>679</v>
      </c>
      <c r="E372" s="58">
        <v>213.51</v>
      </c>
      <c r="F372" s="58"/>
      <c r="G372" s="58">
        <v>133608.19</v>
      </c>
    </row>
    <row r="373" spans="1:7" x14ac:dyDescent="0.2">
      <c r="A373" s="58" t="s">
        <v>679</v>
      </c>
      <c r="B373" s="58" t="s">
        <v>576</v>
      </c>
      <c r="C373" s="58" t="s">
        <v>682</v>
      </c>
      <c r="D373" s="58" t="s">
        <v>679</v>
      </c>
      <c r="E373" s="58">
        <v>1355.82</v>
      </c>
      <c r="F373" s="58"/>
      <c r="G373" s="58">
        <v>132252.37</v>
      </c>
    </row>
    <row r="374" spans="1:7" x14ac:dyDescent="0.2">
      <c r="A374" s="58" t="s">
        <v>679</v>
      </c>
      <c r="B374" s="58" t="s">
        <v>683</v>
      </c>
      <c r="C374" s="58" t="s">
        <v>684</v>
      </c>
      <c r="D374" s="58" t="s">
        <v>679</v>
      </c>
      <c r="E374" s="58">
        <v>4609</v>
      </c>
      <c r="F374" s="58"/>
      <c r="G374" s="58">
        <v>127643.37</v>
      </c>
    </row>
    <row r="375" spans="1:7" x14ac:dyDescent="0.2">
      <c r="A375" s="58" t="s">
        <v>685</v>
      </c>
      <c r="B375" s="58" t="s">
        <v>35</v>
      </c>
      <c r="C375" s="58" t="s">
        <v>686</v>
      </c>
      <c r="D375" s="58" t="s">
        <v>685</v>
      </c>
      <c r="E375" s="58">
        <v>117.28</v>
      </c>
      <c r="F375" s="58"/>
      <c r="G375" s="58">
        <v>127526.09</v>
      </c>
    </row>
    <row r="376" spans="1:7" x14ac:dyDescent="0.2">
      <c r="A376" s="58" t="s">
        <v>685</v>
      </c>
      <c r="B376" s="58" t="s">
        <v>65</v>
      </c>
      <c r="C376" s="58" t="s">
        <v>687</v>
      </c>
      <c r="D376" s="58" t="s">
        <v>685</v>
      </c>
      <c r="E376" s="58">
        <v>412</v>
      </c>
      <c r="F376" s="58"/>
      <c r="G376" s="58">
        <v>127114.09</v>
      </c>
    </row>
    <row r="377" spans="1:7" x14ac:dyDescent="0.2">
      <c r="A377" s="58" t="s">
        <v>685</v>
      </c>
      <c r="B377" s="58" t="s">
        <v>35</v>
      </c>
      <c r="C377" s="58" t="s">
        <v>688</v>
      </c>
      <c r="D377" s="58" t="s">
        <v>685</v>
      </c>
      <c r="E377" s="58">
        <v>222.23</v>
      </c>
      <c r="F377" s="58"/>
      <c r="G377" s="58">
        <v>126891.86</v>
      </c>
    </row>
    <row r="378" spans="1:7" x14ac:dyDescent="0.2">
      <c r="A378" s="58" t="s">
        <v>685</v>
      </c>
      <c r="B378" s="58" t="s">
        <v>35</v>
      </c>
      <c r="C378" s="58" t="s">
        <v>689</v>
      </c>
      <c r="D378" s="58" t="s">
        <v>685</v>
      </c>
      <c r="E378" s="58">
        <v>198.67</v>
      </c>
      <c r="F378" s="58"/>
      <c r="G378" s="58">
        <v>126693.19</v>
      </c>
    </row>
    <row r="379" spans="1:7" x14ac:dyDescent="0.2">
      <c r="A379" s="58" t="s">
        <v>685</v>
      </c>
      <c r="B379" s="58" t="s">
        <v>690</v>
      </c>
      <c r="C379" s="58" t="s">
        <v>691</v>
      </c>
      <c r="D379" s="58" t="s">
        <v>685</v>
      </c>
      <c r="E379" s="58">
        <v>3953</v>
      </c>
      <c r="F379" s="58"/>
      <c r="G379" s="58">
        <v>122740.19</v>
      </c>
    </row>
    <row r="380" spans="1:7" x14ac:dyDescent="0.2">
      <c r="A380" s="58" t="s">
        <v>685</v>
      </c>
      <c r="B380" s="58" t="s">
        <v>35</v>
      </c>
      <c r="C380" s="58" t="s">
        <v>692</v>
      </c>
      <c r="D380" s="58" t="s">
        <v>693</v>
      </c>
      <c r="E380" s="58">
        <v>52.5</v>
      </c>
      <c r="F380" s="58"/>
      <c r="G380" s="58">
        <v>122687.69</v>
      </c>
    </row>
    <row r="381" spans="1:7" x14ac:dyDescent="0.2">
      <c r="A381" s="58" t="s">
        <v>693</v>
      </c>
      <c r="B381" s="58" t="s">
        <v>154</v>
      </c>
      <c r="C381" s="58" t="s">
        <v>694</v>
      </c>
      <c r="D381" s="58" t="s">
        <v>693</v>
      </c>
      <c r="E381" s="58">
        <v>10000</v>
      </c>
      <c r="F381" s="58"/>
      <c r="G381" s="58">
        <v>112687.69</v>
      </c>
    </row>
    <row r="382" spans="1:7" x14ac:dyDescent="0.2">
      <c r="A382" s="58" t="s">
        <v>693</v>
      </c>
      <c r="B382" s="58" t="s">
        <v>695</v>
      </c>
      <c r="C382" s="58" t="s">
        <v>696</v>
      </c>
      <c r="D382" s="58" t="s">
        <v>693</v>
      </c>
      <c r="E382" s="58">
        <v>435</v>
      </c>
      <c r="F382" s="58"/>
      <c r="G382" s="58">
        <v>112252.69</v>
      </c>
    </row>
    <row r="383" spans="1:7" x14ac:dyDescent="0.2">
      <c r="A383" s="58" t="s">
        <v>693</v>
      </c>
      <c r="B383" s="58" t="s">
        <v>697</v>
      </c>
      <c r="C383" s="58" t="s">
        <v>698</v>
      </c>
      <c r="D383" s="58" t="s">
        <v>693</v>
      </c>
      <c r="E383" s="58">
        <v>2127</v>
      </c>
      <c r="F383" s="58"/>
      <c r="G383" s="58">
        <v>110125.69</v>
      </c>
    </row>
    <row r="384" spans="1:7" x14ac:dyDescent="0.2">
      <c r="A384" s="58" t="s">
        <v>693</v>
      </c>
      <c r="B384" s="58" t="s">
        <v>699</v>
      </c>
      <c r="C384" s="58" t="s">
        <v>118</v>
      </c>
      <c r="D384" s="58" t="s">
        <v>693</v>
      </c>
      <c r="E384" s="58"/>
      <c r="F384" s="58">
        <v>6623</v>
      </c>
      <c r="G384" s="58">
        <v>116748.69</v>
      </c>
    </row>
    <row r="385" spans="1:7" x14ac:dyDescent="0.2">
      <c r="A385" s="58" t="s">
        <v>693</v>
      </c>
      <c r="B385" s="58" t="s">
        <v>700</v>
      </c>
      <c r="C385" s="58" t="s">
        <v>701</v>
      </c>
      <c r="D385" s="58" t="s">
        <v>693</v>
      </c>
      <c r="E385" s="58">
        <v>656</v>
      </c>
      <c r="F385" s="58"/>
      <c r="G385" s="58">
        <v>116092.69</v>
      </c>
    </row>
    <row r="386" spans="1:7" x14ac:dyDescent="0.2">
      <c r="A386" s="58" t="s">
        <v>693</v>
      </c>
      <c r="B386" s="58" t="s">
        <v>50</v>
      </c>
      <c r="C386" s="58" t="s">
        <v>702</v>
      </c>
      <c r="D386" s="58" t="s">
        <v>693</v>
      </c>
      <c r="E386" s="58">
        <v>1186.04</v>
      </c>
      <c r="F386" s="58"/>
      <c r="G386" s="58">
        <v>114906.65</v>
      </c>
    </row>
    <row r="387" spans="1:7" x14ac:dyDescent="0.2">
      <c r="A387" s="58" t="s">
        <v>703</v>
      </c>
      <c r="B387" s="58" t="s">
        <v>704</v>
      </c>
      <c r="C387" s="58" t="s">
        <v>705</v>
      </c>
      <c r="D387" s="58" t="s">
        <v>703</v>
      </c>
      <c r="E387" s="58">
        <v>8000</v>
      </c>
      <c r="F387" s="58"/>
      <c r="G387" s="58">
        <v>106906.65</v>
      </c>
    </row>
    <row r="388" spans="1:7" x14ac:dyDescent="0.2">
      <c r="A388" s="58" t="s">
        <v>703</v>
      </c>
      <c r="B388" s="58" t="s">
        <v>706</v>
      </c>
      <c r="C388" s="58" t="s">
        <v>707</v>
      </c>
      <c r="D388" s="58" t="s">
        <v>703</v>
      </c>
      <c r="E388" s="58">
        <v>990</v>
      </c>
      <c r="F388" s="58"/>
      <c r="G388" s="58">
        <v>105916.65</v>
      </c>
    </row>
    <row r="389" spans="1:7" x14ac:dyDescent="0.2">
      <c r="A389" s="58" t="s">
        <v>703</v>
      </c>
      <c r="B389" s="58" t="s">
        <v>167</v>
      </c>
      <c r="C389" s="58" t="s">
        <v>708</v>
      </c>
      <c r="D389" s="58" t="s">
        <v>703</v>
      </c>
      <c r="E389" s="58">
        <v>741</v>
      </c>
      <c r="F389" s="58"/>
      <c r="G389" s="58">
        <v>105175.65</v>
      </c>
    </row>
    <row r="390" spans="1:7" x14ac:dyDescent="0.2">
      <c r="A390" s="58" t="s">
        <v>709</v>
      </c>
      <c r="B390" s="58" t="s">
        <v>35</v>
      </c>
      <c r="C390" s="58" t="s">
        <v>710</v>
      </c>
      <c r="D390" s="58" t="s">
        <v>709</v>
      </c>
      <c r="E390" s="58">
        <v>71.84</v>
      </c>
      <c r="F390" s="58"/>
      <c r="G390" s="58">
        <v>105103.81</v>
      </c>
    </row>
    <row r="391" spans="1:7" x14ac:dyDescent="0.2">
      <c r="A391" s="58" t="s">
        <v>709</v>
      </c>
      <c r="B391" s="58" t="s">
        <v>167</v>
      </c>
      <c r="C391" s="58" t="s">
        <v>711</v>
      </c>
      <c r="D391" s="58" t="s">
        <v>709</v>
      </c>
      <c r="E391" s="58">
        <v>1252</v>
      </c>
      <c r="F391" s="58"/>
      <c r="G391" s="58">
        <v>103851.81</v>
      </c>
    </row>
    <row r="392" spans="1:7" x14ac:dyDescent="0.2">
      <c r="A392" s="58" t="s">
        <v>709</v>
      </c>
      <c r="B392" s="58" t="s">
        <v>35</v>
      </c>
      <c r="C392" s="58" t="s">
        <v>712</v>
      </c>
      <c r="D392" s="58" t="s">
        <v>709</v>
      </c>
      <c r="E392" s="58">
        <v>72.87</v>
      </c>
      <c r="F392" s="58"/>
      <c r="G392" s="58">
        <v>103778.94</v>
      </c>
    </row>
    <row r="393" spans="1:7" x14ac:dyDescent="0.2">
      <c r="A393" s="58" t="s">
        <v>709</v>
      </c>
      <c r="B393" s="58" t="s">
        <v>92</v>
      </c>
      <c r="C393" s="58" t="s">
        <v>713</v>
      </c>
      <c r="D393" s="58" t="s">
        <v>714</v>
      </c>
      <c r="E393" s="58">
        <v>2096</v>
      </c>
      <c r="F393" s="58"/>
      <c r="G393" s="58">
        <v>101682.94</v>
      </c>
    </row>
    <row r="394" spans="1:7" x14ac:dyDescent="0.2">
      <c r="A394" s="58" t="s">
        <v>709</v>
      </c>
      <c r="B394" s="58" t="s">
        <v>167</v>
      </c>
      <c r="C394" s="58" t="s">
        <v>715</v>
      </c>
      <c r="D394" s="58" t="s">
        <v>714</v>
      </c>
      <c r="E394" s="58">
        <v>565</v>
      </c>
      <c r="F394" s="58"/>
      <c r="G394" s="58">
        <v>101117.94</v>
      </c>
    </row>
    <row r="395" spans="1:7" x14ac:dyDescent="0.2">
      <c r="A395" s="58" t="s">
        <v>714</v>
      </c>
      <c r="B395" s="58" t="s">
        <v>54</v>
      </c>
      <c r="C395" s="58" t="s">
        <v>716</v>
      </c>
      <c r="D395" s="58" t="s">
        <v>714</v>
      </c>
      <c r="E395" s="58">
        <v>325</v>
      </c>
      <c r="F395" s="58"/>
      <c r="G395" s="58">
        <v>100792.94</v>
      </c>
    </row>
    <row r="396" spans="1:7" x14ac:dyDescent="0.2">
      <c r="A396" s="58" t="s">
        <v>714</v>
      </c>
      <c r="B396" s="58" t="s">
        <v>35</v>
      </c>
      <c r="C396" s="58" t="s">
        <v>717</v>
      </c>
      <c r="D396" s="58" t="s">
        <v>714</v>
      </c>
      <c r="E396" s="58">
        <v>725.54</v>
      </c>
      <c r="F396" s="58"/>
      <c r="G396" s="58">
        <v>100067.4</v>
      </c>
    </row>
    <row r="397" spans="1:7" x14ac:dyDescent="0.2">
      <c r="A397" s="58" t="s">
        <v>714</v>
      </c>
      <c r="B397" s="58" t="s">
        <v>35</v>
      </c>
      <c r="C397" s="58" t="s">
        <v>718</v>
      </c>
      <c r="D397" s="58" t="s">
        <v>714</v>
      </c>
      <c r="E397" s="58">
        <v>735.62</v>
      </c>
      <c r="F397" s="58"/>
      <c r="G397" s="58">
        <v>99331.78</v>
      </c>
    </row>
    <row r="398" spans="1:7" x14ac:dyDescent="0.2">
      <c r="A398" s="58" t="s">
        <v>714</v>
      </c>
      <c r="B398" s="58" t="s">
        <v>438</v>
      </c>
      <c r="C398" s="58" t="s">
        <v>719</v>
      </c>
      <c r="D398" s="58" t="s">
        <v>714</v>
      </c>
      <c r="E398" s="58">
        <v>201</v>
      </c>
      <c r="F398" s="58"/>
      <c r="G398" s="58">
        <v>99130.78</v>
      </c>
    </row>
    <row r="399" spans="1:7" x14ac:dyDescent="0.2">
      <c r="A399" s="58" t="s">
        <v>714</v>
      </c>
      <c r="B399" s="58" t="s">
        <v>36</v>
      </c>
      <c r="C399" s="58" t="s">
        <v>720</v>
      </c>
      <c r="D399" s="58" t="s">
        <v>714</v>
      </c>
      <c r="E399" s="58">
        <v>94</v>
      </c>
      <c r="F399" s="58"/>
      <c r="G399" s="58">
        <v>99036.78</v>
      </c>
    </row>
    <row r="400" spans="1:7" x14ac:dyDescent="0.2">
      <c r="A400" s="58" t="s">
        <v>721</v>
      </c>
      <c r="B400" s="58" t="s">
        <v>35</v>
      </c>
      <c r="C400" s="58" t="s">
        <v>722</v>
      </c>
      <c r="D400" s="58" t="s">
        <v>721</v>
      </c>
      <c r="E400" s="58">
        <v>194.04</v>
      </c>
      <c r="F400" s="58"/>
      <c r="G400" s="58">
        <v>98842.74</v>
      </c>
    </row>
    <row r="401" spans="1:7" x14ac:dyDescent="0.2">
      <c r="A401" s="58" t="s">
        <v>721</v>
      </c>
      <c r="B401" s="58" t="s">
        <v>36</v>
      </c>
      <c r="C401" s="58" t="s">
        <v>723</v>
      </c>
      <c r="D401" s="58" t="s">
        <v>721</v>
      </c>
      <c r="E401" s="58">
        <v>94</v>
      </c>
      <c r="F401" s="58"/>
      <c r="G401" s="58">
        <v>98748.74</v>
      </c>
    </row>
    <row r="402" spans="1:7" x14ac:dyDescent="0.2">
      <c r="A402" s="58" t="s">
        <v>724</v>
      </c>
      <c r="B402" s="58" t="s">
        <v>36</v>
      </c>
      <c r="C402" s="58" t="s">
        <v>725</v>
      </c>
      <c r="D402" s="58" t="s">
        <v>724</v>
      </c>
      <c r="E402" s="58">
        <v>94</v>
      </c>
      <c r="F402" s="58"/>
      <c r="G402" s="58">
        <v>98654.74</v>
      </c>
    </row>
    <row r="403" spans="1:7" x14ac:dyDescent="0.2">
      <c r="A403" s="58" t="s">
        <v>724</v>
      </c>
      <c r="B403" s="58" t="s">
        <v>54</v>
      </c>
      <c r="C403" s="58" t="s">
        <v>726</v>
      </c>
      <c r="D403" s="58" t="s">
        <v>724</v>
      </c>
      <c r="E403" s="58">
        <v>136</v>
      </c>
      <c r="F403" s="58"/>
      <c r="G403" s="58">
        <v>98518.74</v>
      </c>
    </row>
    <row r="404" spans="1:7" x14ac:dyDescent="0.2">
      <c r="A404" s="58" t="s">
        <v>724</v>
      </c>
      <c r="B404" s="58" t="s">
        <v>35</v>
      </c>
      <c r="C404" s="58" t="s">
        <v>727</v>
      </c>
      <c r="D404" s="58" t="s">
        <v>724</v>
      </c>
      <c r="E404" s="58">
        <v>183.48</v>
      </c>
      <c r="F404" s="58"/>
      <c r="G404" s="58">
        <v>98335.26</v>
      </c>
    </row>
    <row r="405" spans="1:7" x14ac:dyDescent="0.2">
      <c r="A405" s="58" t="s">
        <v>724</v>
      </c>
      <c r="B405" s="58" t="s">
        <v>438</v>
      </c>
      <c r="C405" s="58" t="s">
        <v>728</v>
      </c>
      <c r="D405" s="58" t="s">
        <v>724</v>
      </c>
      <c r="E405" s="58">
        <v>222</v>
      </c>
      <c r="F405" s="58"/>
      <c r="G405" s="58">
        <v>98113.26</v>
      </c>
    </row>
    <row r="406" spans="1:7" x14ac:dyDescent="0.2">
      <c r="A406" s="58" t="s">
        <v>724</v>
      </c>
      <c r="B406" s="58" t="s">
        <v>152</v>
      </c>
      <c r="C406" s="58" t="s">
        <v>729</v>
      </c>
      <c r="D406" s="58" t="s">
        <v>724</v>
      </c>
      <c r="E406" s="58">
        <v>150</v>
      </c>
      <c r="F406" s="58"/>
      <c r="G406" s="58">
        <v>97963.26</v>
      </c>
    </row>
    <row r="407" spans="1:7" x14ac:dyDescent="0.2">
      <c r="A407" s="58" t="s">
        <v>724</v>
      </c>
      <c r="B407" s="58" t="s">
        <v>280</v>
      </c>
      <c r="C407" s="58" t="s">
        <v>730</v>
      </c>
      <c r="D407" s="58" t="s">
        <v>724</v>
      </c>
      <c r="E407" s="58">
        <v>590</v>
      </c>
      <c r="F407" s="58"/>
      <c r="G407" s="58">
        <v>97373.26</v>
      </c>
    </row>
    <row r="408" spans="1:7" x14ac:dyDescent="0.2">
      <c r="A408" s="58" t="s">
        <v>724</v>
      </c>
      <c r="B408" s="58" t="s">
        <v>280</v>
      </c>
      <c r="C408" s="58" t="s">
        <v>731</v>
      </c>
      <c r="D408" s="58" t="s">
        <v>724</v>
      </c>
      <c r="E408" s="58">
        <v>500</v>
      </c>
      <c r="F408" s="58"/>
      <c r="G408" s="58">
        <v>96873.26</v>
      </c>
    </row>
    <row r="409" spans="1:7" x14ac:dyDescent="0.2">
      <c r="A409" s="58" t="s">
        <v>732</v>
      </c>
      <c r="B409" s="58" t="s">
        <v>65</v>
      </c>
      <c r="C409" s="58" t="s">
        <v>733</v>
      </c>
      <c r="D409" s="58" t="s">
        <v>732</v>
      </c>
      <c r="E409" s="58">
        <v>427</v>
      </c>
      <c r="F409" s="58"/>
      <c r="G409" s="58">
        <v>96446.26</v>
      </c>
    </row>
    <row r="410" spans="1:7" x14ac:dyDescent="0.2">
      <c r="A410" s="58" t="s">
        <v>732</v>
      </c>
      <c r="B410" s="58" t="s">
        <v>35</v>
      </c>
      <c r="C410" s="58" t="s">
        <v>734</v>
      </c>
      <c r="D410" s="58" t="s">
        <v>732</v>
      </c>
      <c r="E410" s="58">
        <v>252.69</v>
      </c>
      <c r="F410" s="58"/>
      <c r="G410" s="58">
        <v>96193.57</v>
      </c>
    </row>
    <row r="411" spans="1:7" x14ac:dyDescent="0.2">
      <c r="A411" s="58" t="s">
        <v>732</v>
      </c>
      <c r="B411" s="58" t="s">
        <v>47</v>
      </c>
      <c r="C411" s="58" t="s">
        <v>735</v>
      </c>
      <c r="D411" s="58" t="s">
        <v>732</v>
      </c>
      <c r="E411" s="58">
        <v>570</v>
      </c>
      <c r="F411" s="58"/>
      <c r="G411" s="58">
        <v>95623.57</v>
      </c>
    </row>
    <row r="412" spans="1:7" x14ac:dyDescent="0.2">
      <c r="A412" s="58" t="s">
        <v>732</v>
      </c>
      <c r="B412" s="58" t="s">
        <v>35</v>
      </c>
      <c r="C412" s="58" t="s">
        <v>736</v>
      </c>
      <c r="D412" s="58" t="s">
        <v>732</v>
      </c>
      <c r="E412" s="58">
        <v>127.89</v>
      </c>
      <c r="F412" s="58"/>
      <c r="G412" s="58">
        <v>95495.679999999993</v>
      </c>
    </row>
    <row r="413" spans="1:7" x14ac:dyDescent="0.2">
      <c r="A413" s="58" t="s">
        <v>737</v>
      </c>
      <c r="B413" s="58" t="s">
        <v>167</v>
      </c>
      <c r="C413" s="58" t="s">
        <v>738</v>
      </c>
      <c r="D413" s="58" t="s">
        <v>737</v>
      </c>
      <c r="E413" s="58">
        <v>439</v>
      </c>
      <c r="F413" s="58"/>
      <c r="G413" s="58">
        <v>95056.68</v>
      </c>
    </row>
    <row r="414" spans="1:7" x14ac:dyDescent="0.2">
      <c r="A414" s="58" t="s">
        <v>737</v>
      </c>
      <c r="B414" s="58" t="s">
        <v>54</v>
      </c>
      <c r="C414" s="58" t="s">
        <v>739</v>
      </c>
      <c r="D414" s="58" t="s">
        <v>737</v>
      </c>
      <c r="E414" s="58">
        <v>186</v>
      </c>
      <c r="F414" s="58"/>
      <c r="G414" s="58">
        <v>94870.68</v>
      </c>
    </row>
    <row r="415" spans="1:7" x14ac:dyDescent="0.2">
      <c r="A415" s="58" t="s">
        <v>737</v>
      </c>
      <c r="B415" s="58" t="s">
        <v>740</v>
      </c>
      <c r="C415" s="58" t="s">
        <v>741</v>
      </c>
      <c r="D415" s="58" t="s">
        <v>737</v>
      </c>
      <c r="E415" s="58">
        <v>760</v>
      </c>
      <c r="F415" s="58"/>
      <c r="G415" s="58">
        <v>94110.68</v>
      </c>
    </row>
    <row r="416" spans="1:7" x14ac:dyDescent="0.2">
      <c r="A416" s="58" t="s">
        <v>742</v>
      </c>
      <c r="B416" s="58" t="s">
        <v>179</v>
      </c>
      <c r="C416" s="58" t="s">
        <v>743</v>
      </c>
      <c r="D416" s="58" t="s">
        <v>742</v>
      </c>
      <c r="E416" s="58">
        <v>990</v>
      </c>
      <c r="F416" s="58"/>
      <c r="G416" s="58">
        <v>93120.68</v>
      </c>
    </row>
    <row r="417" spans="1:7" x14ac:dyDescent="0.2">
      <c r="A417" s="58" t="s">
        <v>742</v>
      </c>
      <c r="B417" s="58" t="s">
        <v>35</v>
      </c>
      <c r="C417" s="58" t="s">
        <v>744</v>
      </c>
      <c r="D417" s="58" t="s">
        <v>742</v>
      </c>
      <c r="E417" s="58">
        <v>108.87</v>
      </c>
      <c r="F417" s="58"/>
      <c r="G417" s="58">
        <v>93011.81</v>
      </c>
    </row>
    <row r="418" spans="1:7" x14ac:dyDescent="0.2">
      <c r="A418" s="58" t="s">
        <v>742</v>
      </c>
      <c r="B418" s="58" t="s">
        <v>35</v>
      </c>
      <c r="C418" s="58" t="s">
        <v>745</v>
      </c>
      <c r="D418" s="58" t="s">
        <v>742</v>
      </c>
      <c r="E418" s="58">
        <v>52.5</v>
      </c>
      <c r="F418" s="58"/>
      <c r="G418" s="58">
        <v>92959.31</v>
      </c>
    </row>
    <row r="419" spans="1:7" x14ac:dyDescent="0.2">
      <c r="A419" s="58" t="s">
        <v>742</v>
      </c>
      <c r="B419" s="58" t="s">
        <v>167</v>
      </c>
      <c r="C419" s="58" t="s">
        <v>746</v>
      </c>
      <c r="D419" s="58" t="s">
        <v>742</v>
      </c>
      <c r="E419" s="58">
        <v>558</v>
      </c>
      <c r="F419" s="58"/>
      <c r="G419" s="58">
        <v>92401.31</v>
      </c>
    </row>
    <row r="420" spans="1:7" x14ac:dyDescent="0.2">
      <c r="A420" s="58" t="s">
        <v>742</v>
      </c>
      <c r="B420" s="58" t="s">
        <v>167</v>
      </c>
      <c r="C420" s="58" t="s">
        <v>747</v>
      </c>
      <c r="D420" s="58" t="s">
        <v>742</v>
      </c>
      <c r="E420" s="58">
        <v>994</v>
      </c>
      <c r="F420" s="58"/>
      <c r="G420" s="58">
        <v>91407.31</v>
      </c>
    </row>
    <row r="421" spans="1:7" x14ac:dyDescent="0.2">
      <c r="A421" s="58" t="s">
        <v>748</v>
      </c>
      <c r="B421" s="58" t="s">
        <v>167</v>
      </c>
      <c r="C421" s="58" t="s">
        <v>749</v>
      </c>
      <c r="D421" s="58" t="s">
        <v>748</v>
      </c>
      <c r="E421" s="58">
        <v>555</v>
      </c>
      <c r="F421" s="58"/>
      <c r="G421" s="58">
        <v>90852.31</v>
      </c>
    </row>
    <row r="422" spans="1:7" x14ac:dyDescent="0.2">
      <c r="A422" s="58" t="s">
        <v>750</v>
      </c>
      <c r="B422" s="58" t="s">
        <v>36</v>
      </c>
      <c r="C422" s="58" t="s">
        <v>751</v>
      </c>
      <c r="D422" s="58" t="s">
        <v>750</v>
      </c>
      <c r="E422" s="58">
        <v>94</v>
      </c>
      <c r="F422" s="58"/>
      <c r="G422" s="58">
        <v>90758.31</v>
      </c>
    </row>
    <row r="423" spans="1:7" x14ac:dyDescent="0.2">
      <c r="A423" s="58" t="s">
        <v>750</v>
      </c>
      <c r="B423" s="58" t="s">
        <v>35</v>
      </c>
      <c r="C423" s="58" t="s">
        <v>752</v>
      </c>
      <c r="D423" s="58" t="s">
        <v>750</v>
      </c>
      <c r="E423" s="58">
        <v>136.57</v>
      </c>
      <c r="F423" s="58"/>
      <c r="G423" s="58">
        <v>90621.74</v>
      </c>
    </row>
    <row r="424" spans="1:7" x14ac:dyDescent="0.2">
      <c r="A424" s="58" t="s">
        <v>750</v>
      </c>
      <c r="B424" s="58" t="s">
        <v>52</v>
      </c>
      <c r="C424" s="58" t="s">
        <v>753</v>
      </c>
      <c r="D424" s="58" t="s">
        <v>750</v>
      </c>
      <c r="E424" s="58">
        <v>544</v>
      </c>
      <c r="F424" s="58"/>
      <c r="G424" s="58">
        <v>90077.74</v>
      </c>
    </row>
    <row r="425" spans="1:7" x14ac:dyDescent="0.2">
      <c r="A425" s="58" t="s">
        <v>754</v>
      </c>
      <c r="B425" s="58" t="s">
        <v>35</v>
      </c>
      <c r="C425" s="58" t="s">
        <v>755</v>
      </c>
      <c r="D425" s="58" t="s">
        <v>754</v>
      </c>
      <c r="E425" s="58">
        <v>225.45</v>
      </c>
      <c r="F425" s="58"/>
      <c r="G425" s="58">
        <v>89852.29</v>
      </c>
    </row>
    <row r="426" spans="1:7" x14ac:dyDescent="0.2">
      <c r="A426" s="58" t="s">
        <v>754</v>
      </c>
      <c r="B426" s="58" t="s">
        <v>36</v>
      </c>
      <c r="C426" s="58" t="s">
        <v>756</v>
      </c>
      <c r="D426" s="58" t="s">
        <v>754</v>
      </c>
      <c r="E426" s="58">
        <v>94</v>
      </c>
      <c r="F426" s="58"/>
      <c r="G426" s="58">
        <v>89758.29</v>
      </c>
    </row>
    <row r="427" spans="1:7" x14ac:dyDescent="0.2">
      <c r="A427" s="58" t="s">
        <v>754</v>
      </c>
      <c r="B427" s="58" t="s">
        <v>35</v>
      </c>
      <c r="C427" s="58" t="s">
        <v>757</v>
      </c>
      <c r="D427" s="58" t="s">
        <v>754</v>
      </c>
      <c r="E427" s="58">
        <v>221.57</v>
      </c>
      <c r="F427" s="58"/>
      <c r="G427" s="58">
        <v>89536.72</v>
      </c>
    </row>
    <row r="428" spans="1:7" x14ac:dyDescent="0.2">
      <c r="A428" s="58" t="s">
        <v>754</v>
      </c>
      <c r="B428" s="58" t="s">
        <v>92</v>
      </c>
      <c r="C428" s="58" t="s">
        <v>758</v>
      </c>
      <c r="D428" s="58" t="s">
        <v>754</v>
      </c>
      <c r="E428" s="58">
        <v>2051</v>
      </c>
      <c r="F428" s="58"/>
      <c r="G428" s="58">
        <v>87485.72</v>
      </c>
    </row>
    <row r="429" spans="1:7" x14ac:dyDescent="0.2">
      <c r="A429" s="58" t="s">
        <v>754</v>
      </c>
      <c r="B429" s="58" t="s">
        <v>52</v>
      </c>
      <c r="C429" s="58" t="s">
        <v>759</v>
      </c>
      <c r="D429" s="58" t="s">
        <v>754</v>
      </c>
      <c r="E429" s="58">
        <v>138</v>
      </c>
      <c r="F429" s="58"/>
      <c r="G429" s="58">
        <v>87347.72</v>
      </c>
    </row>
    <row r="430" spans="1:7" x14ac:dyDescent="0.2">
      <c r="A430" s="58" t="s">
        <v>760</v>
      </c>
      <c r="B430" s="58" t="s">
        <v>35</v>
      </c>
      <c r="C430" s="58" t="s">
        <v>761</v>
      </c>
      <c r="D430" s="58" t="s">
        <v>760</v>
      </c>
      <c r="E430" s="58">
        <v>199.68</v>
      </c>
      <c r="F430" s="58"/>
      <c r="G430" s="58">
        <v>87148.04</v>
      </c>
    </row>
    <row r="431" spans="1:7" x14ac:dyDescent="0.2">
      <c r="A431" s="58" t="s">
        <v>760</v>
      </c>
      <c r="B431" s="58" t="s">
        <v>65</v>
      </c>
      <c r="C431" s="58" t="s">
        <v>762</v>
      </c>
      <c r="D431" s="58" t="s">
        <v>760</v>
      </c>
      <c r="E431" s="58">
        <v>376</v>
      </c>
      <c r="F431" s="58"/>
      <c r="G431" s="58">
        <v>86772.04</v>
      </c>
    </row>
    <row r="432" spans="1:7" x14ac:dyDescent="0.2">
      <c r="A432" s="58" t="s">
        <v>760</v>
      </c>
      <c r="B432" s="58" t="s">
        <v>35</v>
      </c>
      <c r="C432" s="58" t="s">
        <v>763</v>
      </c>
      <c r="D432" s="58" t="s">
        <v>760</v>
      </c>
      <c r="E432" s="58">
        <v>131.69999999999999</v>
      </c>
      <c r="F432" s="58"/>
      <c r="G432" s="58">
        <v>86640.34</v>
      </c>
    </row>
    <row r="433" spans="1:7" x14ac:dyDescent="0.2">
      <c r="A433" s="58" t="s">
        <v>760</v>
      </c>
      <c r="B433" s="58" t="s">
        <v>695</v>
      </c>
      <c r="C433" s="58" t="s">
        <v>764</v>
      </c>
      <c r="D433" s="58" t="s">
        <v>760</v>
      </c>
      <c r="E433" s="58">
        <v>139</v>
      </c>
      <c r="F433" s="58"/>
      <c r="G433" s="58">
        <v>86501.34</v>
      </c>
    </row>
    <row r="434" spans="1:7" x14ac:dyDescent="0.2">
      <c r="A434" s="58" t="s">
        <v>760</v>
      </c>
      <c r="B434" s="58" t="s">
        <v>154</v>
      </c>
      <c r="C434" s="58" t="s">
        <v>765</v>
      </c>
      <c r="D434" s="58" t="s">
        <v>760</v>
      </c>
      <c r="E434" s="58">
        <v>1000</v>
      </c>
      <c r="F434" s="58"/>
      <c r="G434" s="58">
        <v>85501.34</v>
      </c>
    </row>
    <row r="435" spans="1:7" x14ac:dyDescent="0.2">
      <c r="A435" s="58" t="s">
        <v>766</v>
      </c>
      <c r="B435" s="58" t="s">
        <v>308</v>
      </c>
      <c r="C435" s="58" t="s">
        <v>767</v>
      </c>
      <c r="D435" s="58" t="s">
        <v>766</v>
      </c>
      <c r="E435" s="58">
        <v>348</v>
      </c>
      <c r="F435" s="58"/>
      <c r="G435" s="58">
        <v>85153.34</v>
      </c>
    </row>
    <row r="436" spans="1:7" x14ac:dyDescent="0.2">
      <c r="A436" s="58" t="s">
        <v>766</v>
      </c>
      <c r="B436" s="58" t="s">
        <v>36</v>
      </c>
      <c r="C436" s="58" t="s">
        <v>768</v>
      </c>
      <c r="D436" s="58" t="s">
        <v>766</v>
      </c>
      <c r="E436" s="58">
        <v>94</v>
      </c>
      <c r="F436" s="58"/>
      <c r="G436" s="58">
        <v>85059.34</v>
      </c>
    </row>
    <row r="437" spans="1:7" x14ac:dyDescent="0.2">
      <c r="A437" s="58" t="s">
        <v>766</v>
      </c>
      <c r="B437" s="58" t="s">
        <v>769</v>
      </c>
      <c r="C437" s="58" t="s">
        <v>770</v>
      </c>
      <c r="D437" s="58" t="s">
        <v>766</v>
      </c>
      <c r="E437" s="58">
        <v>3925</v>
      </c>
      <c r="F437" s="58"/>
      <c r="G437" s="58">
        <v>81134.34</v>
      </c>
    </row>
    <row r="439" spans="1:7" x14ac:dyDescent="0.2">
      <c r="A439" s="58" t="s">
        <v>31</v>
      </c>
      <c r="B439" s="58" t="s">
        <v>32</v>
      </c>
      <c r="C439" s="58" t="s">
        <v>33</v>
      </c>
      <c r="D439" s="58" t="s">
        <v>31</v>
      </c>
      <c r="E439" s="58" t="s">
        <v>34</v>
      </c>
      <c r="F439" s="58" t="s">
        <v>34</v>
      </c>
      <c r="G439" s="58" t="s">
        <v>34</v>
      </c>
    </row>
    <row r="440" spans="1:7" x14ac:dyDescent="0.2">
      <c r="A440" s="58" t="s">
        <v>204</v>
      </c>
      <c r="B440" s="58"/>
      <c r="C440" s="58"/>
      <c r="D440" s="58"/>
      <c r="E440" s="58"/>
      <c r="F440" s="58"/>
      <c r="G440" s="58"/>
    </row>
    <row r="442" spans="1:7" x14ac:dyDescent="0.2">
      <c r="A442" s="58" t="s">
        <v>205</v>
      </c>
      <c r="B442" s="58"/>
      <c r="C442" s="58"/>
      <c r="D442" s="58"/>
      <c r="E442" s="58"/>
      <c r="F442" s="58"/>
      <c r="G442" s="58"/>
    </row>
    <row r="443" spans="1:7" x14ac:dyDescent="0.2">
      <c r="A443" s="58" t="s">
        <v>206</v>
      </c>
      <c r="B443" s="58"/>
      <c r="C443" s="58"/>
      <c r="D443" s="58"/>
      <c r="E443" s="58" t="s">
        <v>207</v>
      </c>
      <c r="F443" s="58" t="s">
        <v>208</v>
      </c>
      <c r="G443" s="58" t="s">
        <v>209</v>
      </c>
    </row>
    <row r="444" spans="1:7" x14ac:dyDescent="0.2">
      <c r="A444" s="58">
        <v>25611.25</v>
      </c>
      <c r="B444" s="58"/>
      <c r="C444" s="58"/>
      <c r="D444" s="58"/>
      <c r="E444" s="58">
        <v>430849.91</v>
      </c>
      <c r="F444" s="58">
        <v>486373</v>
      </c>
      <c r="G444" s="58">
        <v>81134.34</v>
      </c>
    </row>
    <row r="446" spans="1:7" x14ac:dyDescent="0.2">
      <c r="A446" s="58"/>
      <c r="B446" s="58"/>
      <c r="C446" s="58"/>
      <c r="D446" s="58"/>
      <c r="E446" s="58" t="s">
        <v>210</v>
      </c>
      <c r="F446" s="58" t="s">
        <v>211</v>
      </c>
      <c r="G446" s="58"/>
    </row>
    <row r="447" spans="1:7" x14ac:dyDescent="0.2">
      <c r="A447" s="58"/>
      <c r="B447" s="58"/>
      <c r="C447" s="58"/>
      <c r="D447" s="58"/>
      <c r="E447" s="58">
        <v>407</v>
      </c>
      <c r="F447" s="58">
        <v>8</v>
      </c>
      <c r="G447" s="58"/>
    </row>
    <row r="450" spans="1:6" x14ac:dyDescent="0.2">
      <c r="A450" s="58" t="s">
        <v>212</v>
      </c>
      <c r="B450" s="58" t="s">
        <v>771</v>
      </c>
      <c r="C450" s="58" t="s">
        <v>213</v>
      </c>
      <c r="D450" s="58" t="s">
        <v>214</v>
      </c>
      <c r="E450" s="58" t="s">
        <v>215</v>
      </c>
      <c r="F450" s="58" t="s">
        <v>216</v>
      </c>
    </row>
    <row r="453" spans="1:6" x14ac:dyDescent="0.2">
      <c r="A453" s="58" t="s">
        <v>217</v>
      </c>
      <c r="B453" s="58"/>
      <c r="C453" s="58"/>
      <c r="D453" s="58"/>
      <c r="E453" s="58"/>
      <c r="F453" s="58"/>
    </row>
    <row r="454" spans="1:6" x14ac:dyDescent="0.2">
      <c r="A454" s="58" t="s">
        <v>218</v>
      </c>
      <c r="B454" s="58"/>
      <c r="C454" s="58"/>
      <c r="D454" s="58"/>
      <c r="E454" s="58"/>
      <c r="F454" s="58"/>
    </row>
    <row r="455" spans="1:6" x14ac:dyDescent="0.2">
      <c r="A455" s="58" t="s">
        <v>219</v>
      </c>
      <c r="B455" s="58"/>
      <c r="C455" s="58"/>
      <c r="D455" s="58"/>
      <c r="E455" s="58"/>
      <c r="F455" s="58"/>
    </row>
  </sheetData>
  <autoFilter ref="A21:I125"/>
  <pageMargins left="0.25" right="0.25" top="0.5" bottom="1" header="0" footer="0"/>
  <pageSetup orientation="landscape" horizontalDpi="300" verticalDpi="300" copies="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2"/>
  <sheetViews>
    <sheetView topLeftCell="B1" zoomScaleNormal="100" workbookViewId="0">
      <selection activeCell="H15" sqref="H15"/>
    </sheetView>
  </sheetViews>
  <sheetFormatPr defaultRowHeight="12.75" x14ac:dyDescent="0.2"/>
  <cols>
    <col min="1" max="1" width="14.7109375" customWidth="1"/>
    <col min="2" max="9" width="23" bestFit="1" customWidth="1"/>
  </cols>
  <sheetData>
    <row r="1" spans="1:9" ht="13.5" thickBot="1" x14ac:dyDescent="0.25">
      <c r="A1" s="1" t="s">
        <v>238</v>
      </c>
      <c r="B1" s="7" t="s">
        <v>225</v>
      </c>
      <c r="C1" s="8" t="s">
        <v>224</v>
      </c>
      <c r="D1" s="9" t="s">
        <v>228</v>
      </c>
      <c r="E1" s="8" t="s">
        <v>220</v>
      </c>
      <c r="F1" s="9" t="s">
        <v>221</v>
      </c>
      <c r="G1" s="8" t="s">
        <v>223</v>
      </c>
      <c r="H1" s="9" t="s">
        <v>227</v>
      </c>
      <c r="I1" s="8" t="s">
        <v>222</v>
      </c>
    </row>
    <row r="2" spans="1:9" ht="13.5" thickBot="1" x14ac:dyDescent="0.25">
      <c r="A2" s="1" t="s">
        <v>237</v>
      </c>
      <c r="B2" s="7" t="s">
        <v>236</v>
      </c>
      <c r="C2" s="8" t="s">
        <v>229</v>
      </c>
      <c r="D2" s="9" t="s">
        <v>230</v>
      </c>
      <c r="E2" s="8" t="s">
        <v>231</v>
      </c>
      <c r="F2" s="9" t="s">
        <v>232</v>
      </c>
      <c r="G2" s="8" t="s">
        <v>233</v>
      </c>
      <c r="H2" s="9" t="s">
        <v>234</v>
      </c>
      <c r="I2" s="8" t="s">
        <v>235</v>
      </c>
    </row>
    <row r="3" spans="1:9" ht="13.5" thickBot="1" x14ac:dyDescent="0.25">
      <c r="A3" s="82" t="s">
        <v>239</v>
      </c>
      <c r="B3" s="10" t="s">
        <v>242</v>
      </c>
      <c r="C3" s="11" t="s">
        <v>240</v>
      </c>
      <c r="D3" s="12" t="s">
        <v>243</v>
      </c>
      <c r="E3" s="11" t="s">
        <v>257</v>
      </c>
      <c r="F3" s="12" t="s">
        <v>246</v>
      </c>
      <c r="G3" s="11" t="s">
        <v>252</v>
      </c>
      <c r="H3" s="12" t="s">
        <v>244</v>
      </c>
      <c r="I3" s="13" t="s">
        <v>255</v>
      </c>
    </row>
    <row r="4" spans="1:9" ht="13.5" thickBot="1" x14ac:dyDescent="0.25">
      <c r="A4" s="83"/>
      <c r="B4" s="14" t="s">
        <v>251</v>
      </c>
      <c r="C4" s="15" t="s">
        <v>241</v>
      </c>
      <c r="D4" s="16" t="s">
        <v>256</v>
      </c>
      <c r="E4" s="15" t="s">
        <v>254</v>
      </c>
      <c r="F4" s="16" t="s">
        <v>247</v>
      </c>
      <c r="G4" s="15" t="s">
        <v>253</v>
      </c>
      <c r="H4" s="16" t="s">
        <v>245</v>
      </c>
      <c r="I4" s="17" t="s">
        <v>256</v>
      </c>
    </row>
    <row r="5" spans="1:9" ht="13.5" thickBot="1" x14ac:dyDescent="0.25">
      <c r="A5" s="83"/>
      <c r="B5" s="14" t="s">
        <v>256</v>
      </c>
      <c r="C5" s="15" t="s">
        <v>485</v>
      </c>
      <c r="D5" s="16" t="s">
        <v>256</v>
      </c>
      <c r="E5" s="15" t="s">
        <v>256</v>
      </c>
      <c r="F5" s="16" t="s">
        <v>248</v>
      </c>
      <c r="G5" s="15" t="s">
        <v>483</v>
      </c>
      <c r="H5" s="15" t="s">
        <v>481</v>
      </c>
      <c r="I5" s="17" t="s">
        <v>256</v>
      </c>
    </row>
    <row r="6" spans="1:9" ht="13.5" thickBot="1" x14ac:dyDescent="0.25">
      <c r="A6" s="83"/>
      <c r="B6" s="14" t="s">
        <v>256</v>
      </c>
      <c r="C6" s="15" t="s">
        <v>256</v>
      </c>
      <c r="D6" s="16" t="s">
        <v>256</v>
      </c>
      <c r="E6" s="15" t="s">
        <v>256</v>
      </c>
      <c r="F6" s="16" t="s">
        <v>249</v>
      </c>
      <c r="G6" s="15" t="s">
        <v>484</v>
      </c>
      <c r="H6" s="15" t="s">
        <v>256</v>
      </c>
      <c r="I6" s="17" t="s">
        <v>256</v>
      </c>
    </row>
    <row r="7" spans="1:9" ht="13.5" thickBot="1" x14ac:dyDescent="0.25">
      <c r="A7" s="83"/>
      <c r="B7" s="14" t="s">
        <v>256</v>
      </c>
      <c r="C7" s="15" t="s">
        <v>256</v>
      </c>
      <c r="D7" s="16" t="s">
        <v>256</v>
      </c>
      <c r="E7" s="15" t="s">
        <v>256</v>
      </c>
      <c r="F7" s="16" t="s">
        <v>250</v>
      </c>
      <c r="G7" s="15" t="s">
        <v>487</v>
      </c>
      <c r="H7" s="15" t="s">
        <v>256</v>
      </c>
      <c r="I7" s="17" t="s">
        <v>256</v>
      </c>
    </row>
    <row r="8" spans="1:9" ht="13.5" thickBot="1" x14ac:dyDescent="0.25">
      <c r="A8" s="83"/>
      <c r="B8" s="14" t="s">
        <v>256</v>
      </c>
      <c r="C8" s="15" t="s">
        <v>256</v>
      </c>
      <c r="D8" s="16" t="s">
        <v>256</v>
      </c>
      <c r="E8" s="15" t="s">
        <v>256</v>
      </c>
      <c r="F8" s="15" t="s">
        <v>259</v>
      </c>
      <c r="G8" s="15" t="s">
        <v>488</v>
      </c>
      <c r="H8" s="15" t="s">
        <v>256</v>
      </c>
      <c r="I8" s="17" t="s">
        <v>256</v>
      </c>
    </row>
    <row r="9" spans="1:9" ht="13.5" thickBot="1" x14ac:dyDescent="0.25">
      <c r="A9" s="83"/>
      <c r="B9" s="14" t="s">
        <v>256</v>
      </c>
      <c r="C9" s="15" t="s">
        <v>256</v>
      </c>
      <c r="D9" s="16" t="s">
        <v>256</v>
      </c>
      <c r="E9" s="15" t="s">
        <v>256</v>
      </c>
      <c r="F9" s="15" t="s">
        <v>480</v>
      </c>
      <c r="G9" s="15" t="s">
        <v>256</v>
      </c>
      <c r="H9" s="15" t="s">
        <v>256</v>
      </c>
      <c r="I9" s="17" t="s">
        <v>256</v>
      </c>
    </row>
    <row r="10" spans="1:9" ht="13.5" thickBot="1" x14ac:dyDescent="0.25">
      <c r="A10" s="83"/>
      <c r="B10" s="14" t="s">
        <v>256</v>
      </c>
      <c r="C10" s="15" t="s">
        <v>256</v>
      </c>
      <c r="D10" s="16" t="s">
        <v>256</v>
      </c>
      <c r="E10" s="15" t="s">
        <v>256</v>
      </c>
      <c r="F10" s="15" t="s">
        <v>482</v>
      </c>
      <c r="G10" s="15" t="s">
        <v>256</v>
      </c>
      <c r="H10" s="15" t="s">
        <v>256</v>
      </c>
      <c r="I10" s="17" t="s">
        <v>256</v>
      </c>
    </row>
    <row r="11" spans="1:9" ht="13.5" thickBot="1" x14ac:dyDescent="0.25">
      <c r="A11" s="83"/>
      <c r="B11" s="14" t="s">
        <v>256</v>
      </c>
      <c r="C11" s="15" t="s">
        <v>256</v>
      </c>
      <c r="D11" s="16" t="s">
        <v>256</v>
      </c>
      <c r="E11" s="15" t="s">
        <v>256</v>
      </c>
      <c r="F11" s="15" t="s">
        <v>486</v>
      </c>
      <c r="G11" s="15" t="s">
        <v>256</v>
      </c>
      <c r="H11" s="15" t="s">
        <v>256</v>
      </c>
      <c r="I11" s="17" t="s">
        <v>256</v>
      </c>
    </row>
    <row r="12" spans="1:9" ht="13.5" thickBot="1" x14ac:dyDescent="0.25">
      <c r="A12" s="84"/>
      <c r="B12" s="18" t="s">
        <v>256</v>
      </c>
      <c r="C12" s="19" t="s">
        <v>256</v>
      </c>
      <c r="D12" s="20" t="s">
        <v>256</v>
      </c>
      <c r="E12" s="19" t="s">
        <v>256</v>
      </c>
      <c r="F12" s="19" t="s">
        <v>256</v>
      </c>
      <c r="G12" s="19" t="s">
        <v>256</v>
      </c>
      <c r="H12" s="19" t="s">
        <v>256</v>
      </c>
      <c r="I12" s="21" t="s">
        <v>256</v>
      </c>
    </row>
  </sheetData>
  <mergeCells count="1">
    <mergeCell ref="A3:A12"/>
  </mergeCells>
  <pageMargins left="0.7" right="0.7" top="0.75" bottom="0.75" header="0.3" footer="0.3"/>
  <pageSetup paperSize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S419"/>
  <sheetViews>
    <sheetView topLeftCell="A300" workbookViewId="0">
      <selection activeCell="B363" sqref="B363"/>
    </sheetView>
  </sheetViews>
  <sheetFormatPr defaultRowHeight="12.75" x14ac:dyDescent="0.2"/>
  <cols>
    <col min="1" max="1" width="16.42578125" customWidth="1"/>
    <col min="2" max="2" width="56.42578125" customWidth="1"/>
    <col min="3" max="3" width="19.42578125" customWidth="1"/>
    <col min="4" max="4" width="9.85546875" customWidth="1"/>
    <col min="5" max="5" width="10.140625" customWidth="1"/>
    <col min="6" max="6" width="10.42578125" customWidth="1"/>
    <col min="7" max="7" width="13.42578125" customWidth="1"/>
    <col min="8" max="17" width="9.140625" hidden="1" customWidth="1"/>
  </cols>
  <sheetData>
    <row r="1" spans="1:19" hidden="1" x14ac:dyDescent="0.2">
      <c r="H1">
        <v>1</v>
      </c>
      <c r="I1">
        <v>2</v>
      </c>
      <c r="J1">
        <v>3</v>
      </c>
      <c r="K1">
        <v>4</v>
      </c>
      <c r="L1">
        <v>5</v>
      </c>
      <c r="M1">
        <v>6</v>
      </c>
      <c r="N1">
        <v>7</v>
      </c>
      <c r="O1">
        <v>8</v>
      </c>
      <c r="P1">
        <v>9</v>
      </c>
    </row>
    <row r="2" spans="1:19" ht="13.5" thickBot="1" x14ac:dyDescent="0.25">
      <c r="A2" s="3" t="s">
        <v>24</v>
      </c>
      <c r="B2" s="3" t="s">
        <v>25</v>
      </c>
      <c r="C2" s="3" t="s">
        <v>26</v>
      </c>
      <c r="D2" s="3" t="s">
        <v>27</v>
      </c>
      <c r="E2" s="3" t="s">
        <v>28</v>
      </c>
      <c r="F2" s="3" t="s">
        <v>29</v>
      </c>
      <c r="G2" s="3" t="s">
        <v>30</v>
      </c>
      <c r="H2" s="3" t="s">
        <v>225</v>
      </c>
      <c r="I2" s="3" t="s">
        <v>224</v>
      </c>
      <c r="J2" s="3" t="s">
        <v>228</v>
      </c>
      <c r="K2" s="3" t="s">
        <v>220</v>
      </c>
      <c r="L2" s="3" t="s">
        <v>221</v>
      </c>
      <c r="M2" s="3" t="s">
        <v>223</v>
      </c>
      <c r="N2" s="3" t="s">
        <v>227</v>
      </c>
      <c r="O2" s="3" t="s">
        <v>222</v>
      </c>
      <c r="P2" s="3" t="s">
        <v>260</v>
      </c>
      <c r="Q2" s="3" t="s">
        <v>492</v>
      </c>
      <c r="R2" s="3" t="s">
        <v>258</v>
      </c>
      <c r="S2" s="3" t="s">
        <v>226</v>
      </c>
    </row>
    <row r="3" spans="1:19" ht="13.5" thickBot="1" x14ac:dyDescent="0.25">
      <c r="A3" s="4">
        <f>DATEVALUE(DataIn!A23)</f>
        <v>42856</v>
      </c>
      <c r="B3" s="5" t="str">
        <f>DataIn!B23</f>
        <v>POS 512967XXXXXX4422 ZES*UBER INDIA S POS DEBIT</v>
      </c>
      <c r="C3" s="5" t="str">
        <f>DataIn!C23</f>
        <v>0000712140011439</v>
      </c>
      <c r="D3" s="5" t="str">
        <f>DataIn!D23</f>
        <v>01/05/17</v>
      </c>
      <c r="E3" s="5">
        <f>DataIn!E23</f>
        <v>160.01</v>
      </c>
      <c r="F3" s="5">
        <f>DataIn!F23</f>
        <v>0</v>
      </c>
      <c r="G3" s="5">
        <f>DataIn!G23</f>
        <v>25451.24</v>
      </c>
      <c r="H3" s="6" t="b">
        <f>SUMPRODUCT(--ISNUMBER(SEARCH(CategoriesConfig!B$3:B$12,$B3)))&gt;0</f>
        <v>0</v>
      </c>
      <c r="I3" s="6" t="b">
        <f>SUMPRODUCT(--ISNUMBER(SEARCH(CategoriesConfig!C$3:C$12,$B3)))&gt;0</f>
        <v>1</v>
      </c>
      <c r="J3" s="6" t="b">
        <f>SUMPRODUCT(--ISNUMBER(SEARCH(CategoriesConfig!D$3:D$12,$B3)))&gt;0</f>
        <v>0</v>
      </c>
      <c r="K3" s="6" t="b">
        <f>SUMPRODUCT(--ISNUMBER(SEARCH(CategoriesConfig!E$3:E$12,$B3)))&gt;0</f>
        <v>0</v>
      </c>
      <c r="L3" s="6" t="b">
        <f>SUMPRODUCT(--ISNUMBER(SEARCH(CategoriesConfig!F$3:F$12,$B3)))&gt;0</f>
        <v>0</v>
      </c>
      <c r="M3" s="6" t="b">
        <f>SUMPRODUCT(--ISNUMBER(SEARCH(CategoriesConfig!G$3:G$12,$B3)))&gt;0</f>
        <v>0</v>
      </c>
      <c r="N3" s="6" t="b">
        <f>SUMPRODUCT(--ISNUMBER(SEARCH(CategoriesConfig!H$3:H$12,$B3)))&gt;0</f>
        <v>0</v>
      </c>
      <c r="O3" s="6" t="b">
        <f>SUMPRODUCT(--ISNUMBER(SEARCH(CategoriesConfig!I$3:I$12,$B3)))&gt;0</f>
        <v>0</v>
      </c>
      <c r="P3" s="22" t="b">
        <f t="shared" ref="P3:P66" si="0">IF(SUMIF(H3:O3,"TRUE",H$1:O$1)=0,TRUE,FALSE)</f>
        <v>0</v>
      </c>
      <c r="Q3" s="22">
        <f>MONTH(A3)</f>
        <v>5</v>
      </c>
      <c r="S3" s="6" t="str">
        <f t="shared" ref="S3:S66" si="1">IF(ISBLANK(R3),INDEX(H$2:P$917,1,SUMIF(H3:P3,"TRUE",H$1:P$1)),R3)</f>
        <v>U</v>
      </c>
    </row>
    <row r="4" spans="1:19" ht="13.5" thickBot="1" x14ac:dyDescent="0.25">
      <c r="A4" s="4">
        <f>DATEVALUE(DataIn!A24)</f>
        <v>42856</v>
      </c>
      <c r="B4" s="5" t="str">
        <f>DataIn!B24</f>
        <v>POS 512967XXXXXX4422 PLAN B POS DEBIT</v>
      </c>
      <c r="C4" s="5" t="str">
        <f>DataIn!C24</f>
        <v>0000000000301597</v>
      </c>
      <c r="D4" s="5" t="str">
        <f>DataIn!D24</f>
        <v>01/05/17</v>
      </c>
      <c r="E4" s="5">
        <f>DataIn!E24</f>
        <v>1187</v>
      </c>
      <c r="F4" s="5">
        <f>DataIn!F24</f>
        <v>0</v>
      </c>
      <c r="G4" s="5">
        <f>DataIn!G24</f>
        <v>24264.240000000002</v>
      </c>
      <c r="H4" s="6" t="b">
        <f>SUMPRODUCT(--ISNUMBER(SEARCH(CategoriesConfig!B$3:B$12,$B4)))&gt;0</f>
        <v>0</v>
      </c>
      <c r="I4" s="6" t="b">
        <f>SUMPRODUCT(--ISNUMBER(SEARCH(CategoriesConfig!C$3:C$12,$B4)))&gt;0</f>
        <v>0</v>
      </c>
      <c r="J4" s="6" t="b">
        <f>SUMPRODUCT(--ISNUMBER(SEARCH(CategoriesConfig!D$3:D$12,$B4)))&gt;0</f>
        <v>0</v>
      </c>
      <c r="K4" s="6" t="b">
        <f>SUMPRODUCT(--ISNUMBER(SEARCH(CategoriesConfig!E$3:E$12,$B4)))&gt;0</f>
        <v>0</v>
      </c>
      <c r="L4" s="6" t="b">
        <f>SUMPRODUCT(--ISNUMBER(SEARCH(CategoriesConfig!F$3:F$12,$B4)))&gt;0</f>
        <v>1</v>
      </c>
      <c r="M4" s="6" t="b">
        <f>SUMPRODUCT(--ISNUMBER(SEARCH(CategoriesConfig!G$3:G$12,$B4)))&gt;0</f>
        <v>0</v>
      </c>
      <c r="N4" s="6" t="b">
        <f>SUMPRODUCT(--ISNUMBER(SEARCH(CategoriesConfig!H$3:H$12,$B4)))&gt;0</f>
        <v>0</v>
      </c>
      <c r="O4" s="6" t="b">
        <f>SUMPRODUCT(--ISNUMBER(SEARCH(CategoriesConfig!I$3:I$12,$B4)))&gt;0</f>
        <v>0</v>
      </c>
      <c r="P4" s="22" t="b">
        <f t="shared" si="0"/>
        <v>0</v>
      </c>
      <c r="Q4" s="22">
        <f t="shared" ref="Q4:Q67" si="2">MONTH(A4)</f>
        <v>5</v>
      </c>
      <c r="S4" s="6" t="str">
        <f t="shared" si="1"/>
        <v>F</v>
      </c>
    </row>
    <row r="5" spans="1:19" ht="13.5" thickBot="1" x14ac:dyDescent="0.25">
      <c r="A5" s="4">
        <f>DATEVALUE(DataIn!A25)</f>
        <v>42856</v>
      </c>
      <c r="B5" s="5" t="str">
        <f>DataIn!B25</f>
        <v>POS 512967XXXXXX4422 ONE97COMM_PAYTM POS DEBIT</v>
      </c>
      <c r="C5" s="5" t="str">
        <f>DataIn!C25</f>
        <v>0000000000874432</v>
      </c>
      <c r="D5" s="5" t="str">
        <f>DataIn!D25</f>
        <v>01/05/17</v>
      </c>
      <c r="E5" s="5">
        <f>DataIn!E25</f>
        <v>1667</v>
      </c>
      <c r="F5" s="5">
        <f>DataIn!F25</f>
        <v>0</v>
      </c>
      <c r="G5" s="5">
        <f>DataIn!G25</f>
        <v>22597.24</v>
      </c>
      <c r="H5" s="6" t="b">
        <f>SUMPRODUCT(--ISNUMBER(SEARCH(CategoriesConfig!B$3:B$12,$B5)))&gt;0</f>
        <v>0</v>
      </c>
      <c r="I5" s="6" t="b">
        <f>SUMPRODUCT(--ISNUMBER(SEARCH(CategoriesConfig!C$3:C$12,$B5)))&gt;0</f>
        <v>0</v>
      </c>
      <c r="J5" s="6" t="b">
        <f>SUMPRODUCT(--ISNUMBER(SEARCH(CategoriesConfig!D$3:D$12,$B5)))&gt;0</f>
        <v>0</v>
      </c>
      <c r="K5" s="6" t="b">
        <f>SUMPRODUCT(--ISNUMBER(SEARCH(CategoriesConfig!E$3:E$12,$B5)))&gt;0</f>
        <v>0</v>
      </c>
      <c r="L5" s="6" t="b">
        <f>SUMPRODUCT(--ISNUMBER(SEARCH(CategoriesConfig!F$3:F$12,$B5)))&gt;0</f>
        <v>0</v>
      </c>
      <c r="M5" s="6" t="b">
        <f>SUMPRODUCT(--ISNUMBER(SEARCH(CategoriesConfig!G$3:G$12,$B5)))&gt;0</f>
        <v>0</v>
      </c>
      <c r="N5" s="6" t="b">
        <f>SUMPRODUCT(--ISNUMBER(SEARCH(CategoriesConfig!H$3:H$12,$B5)))&gt;0</f>
        <v>0</v>
      </c>
      <c r="O5" s="6" t="b">
        <f>SUMPRODUCT(--ISNUMBER(SEARCH(CategoriesConfig!I$3:I$12,$B5)))&gt;0</f>
        <v>0</v>
      </c>
      <c r="P5" s="22" t="b">
        <f t="shared" si="0"/>
        <v>1</v>
      </c>
      <c r="Q5" s="22">
        <f t="shared" si="2"/>
        <v>5</v>
      </c>
      <c r="R5" s="2" t="s">
        <v>223</v>
      </c>
      <c r="S5" s="6" t="str">
        <f t="shared" si="1"/>
        <v>M</v>
      </c>
    </row>
    <row r="6" spans="1:19" ht="13.5" thickBot="1" x14ac:dyDescent="0.25">
      <c r="A6" s="4">
        <f>DATEVALUE(DataIn!A26)</f>
        <v>42857</v>
      </c>
      <c r="B6" s="5" t="str">
        <f>DataIn!B26</f>
        <v>POS 512967XXXXXX4422 ZES*UBER INDIA S POS DEBIT</v>
      </c>
      <c r="C6" s="5" t="str">
        <f>DataIn!C26</f>
        <v>0000712260043529</v>
      </c>
      <c r="D6" s="5" t="str">
        <f>DataIn!D26</f>
        <v>02/05/17</v>
      </c>
      <c r="E6" s="5">
        <f>DataIn!E26</f>
        <v>127.01</v>
      </c>
      <c r="F6" s="5">
        <f>DataIn!F26</f>
        <v>0</v>
      </c>
      <c r="G6" s="5">
        <f>DataIn!G26</f>
        <v>22470.23</v>
      </c>
      <c r="H6" s="6" t="b">
        <f>SUMPRODUCT(--ISNUMBER(SEARCH(CategoriesConfig!B$3:B$12,$B6)))&gt;0</f>
        <v>0</v>
      </c>
      <c r="I6" s="6" t="b">
        <f>SUMPRODUCT(--ISNUMBER(SEARCH(CategoriesConfig!C$3:C$12,$B6)))&gt;0</f>
        <v>1</v>
      </c>
      <c r="J6" s="6" t="b">
        <f>SUMPRODUCT(--ISNUMBER(SEARCH(CategoriesConfig!D$3:D$12,$B6)))&gt;0</f>
        <v>0</v>
      </c>
      <c r="K6" s="6" t="b">
        <f>SUMPRODUCT(--ISNUMBER(SEARCH(CategoriesConfig!E$3:E$12,$B6)))&gt;0</f>
        <v>0</v>
      </c>
      <c r="L6" s="6" t="b">
        <f>SUMPRODUCT(--ISNUMBER(SEARCH(CategoriesConfig!F$3:F$12,$B6)))&gt;0</f>
        <v>0</v>
      </c>
      <c r="M6" s="6" t="b">
        <f>SUMPRODUCT(--ISNUMBER(SEARCH(CategoriesConfig!G$3:G$12,$B6)))&gt;0</f>
        <v>0</v>
      </c>
      <c r="N6" s="6" t="b">
        <f>SUMPRODUCT(--ISNUMBER(SEARCH(CategoriesConfig!H$3:H$12,$B6)))&gt;0</f>
        <v>0</v>
      </c>
      <c r="O6" s="6" t="b">
        <f>SUMPRODUCT(--ISNUMBER(SEARCH(CategoriesConfig!I$3:I$12,$B6)))&gt;0</f>
        <v>0</v>
      </c>
      <c r="P6" s="22" t="b">
        <f t="shared" si="0"/>
        <v>0</v>
      </c>
      <c r="Q6" s="22">
        <f t="shared" si="2"/>
        <v>5</v>
      </c>
      <c r="S6" s="6" t="str">
        <f t="shared" si="1"/>
        <v>U</v>
      </c>
    </row>
    <row r="7" spans="1:19" ht="13.5" thickBot="1" x14ac:dyDescent="0.25">
      <c r="A7" s="4">
        <f>DATEVALUE(DataIn!A27)</f>
        <v>42857</v>
      </c>
      <c r="B7" s="5" t="str">
        <f>DataIn!B27</f>
        <v>GOVT SER.TAX ON FX -RX42710260417001</v>
      </c>
      <c r="C7" s="5" t="str">
        <f>DataIn!C27</f>
        <v>000000000000000</v>
      </c>
      <c r="D7" s="5" t="str">
        <f>DataIn!D27</f>
        <v>02/05/17</v>
      </c>
      <c r="E7" s="5">
        <f>DataIn!E27</f>
        <v>178.87</v>
      </c>
      <c r="F7" s="5">
        <f>DataIn!F27</f>
        <v>0</v>
      </c>
      <c r="G7" s="5">
        <f>DataIn!G27</f>
        <v>22291.360000000001</v>
      </c>
      <c r="H7" s="6" t="b">
        <f>SUMPRODUCT(--ISNUMBER(SEARCH(CategoriesConfig!B$3:B$12,$B7)))&gt;0</f>
        <v>0</v>
      </c>
      <c r="I7" s="6" t="b">
        <f>SUMPRODUCT(--ISNUMBER(SEARCH(CategoriesConfig!C$3:C$12,$B7)))&gt;0</f>
        <v>0</v>
      </c>
      <c r="J7" s="6" t="b">
        <f>SUMPRODUCT(--ISNUMBER(SEARCH(CategoriesConfig!D$3:D$12,$B7)))&gt;0</f>
        <v>0</v>
      </c>
      <c r="K7" s="6" t="b">
        <f>SUMPRODUCT(--ISNUMBER(SEARCH(CategoriesConfig!E$3:E$12,$B7)))&gt;0</f>
        <v>0</v>
      </c>
      <c r="L7" s="6" t="b">
        <f>SUMPRODUCT(--ISNUMBER(SEARCH(CategoriesConfig!F$3:F$12,$B7)))&gt;0</f>
        <v>0</v>
      </c>
      <c r="M7" s="6" t="b">
        <f>SUMPRODUCT(--ISNUMBER(SEARCH(CategoriesConfig!G$3:G$12,$B7)))&gt;0</f>
        <v>0</v>
      </c>
      <c r="N7" s="6" t="b">
        <f>SUMPRODUCT(--ISNUMBER(SEARCH(CategoriesConfig!H$3:H$12,$B7)))&gt;0</f>
        <v>0</v>
      </c>
      <c r="O7" s="6" t="b">
        <f>SUMPRODUCT(--ISNUMBER(SEARCH(CategoriesConfig!I$3:I$12,$B7)))&gt;0</f>
        <v>0</v>
      </c>
      <c r="P7" s="22" t="b">
        <f t="shared" si="0"/>
        <v>1</v>
      </c>
      <c r="Q7" s="22">
        <f t="shared" si="2"/>
        <v>5</v>
      </c>
      <c r="R7" s="2" t="s">
        <v>223</v>
      </c>
      <c r="S7" s="6" t="str">
        <f t="shared" si="1"/>
        <v>M</v>
      </c>
    </row>
    <row r="8" spans="1:19" ht="13.5" thickBot="1" x14ac:dyDescent="0.25">
      <c r="A8" s="4">
        <f>DATEVALUE(DataIn!A28)</f>
        <v>42857</v>
      </c>
      <c r="B8" s="5" t="str">
        <f>DataIn!B28</f>
        <v>GOVT SBC TAX ON FX -RX42710260417001</v>
      </c>
      <c r="C8" s="5" t="str">
        <f>DataIn!C28</f>
        <v>000000000000000</v>
      </c>
      <c r="D8" s="5" t="str">
        <f>DataIn!D28</f>
        <v>02/05/17</v>
      </c>
      <c r="E8" s="5">
        <f>DataIn!E28</f>
        <v>6.62</v>
      </c>
      <c r="F8" s="5">
        <f>DataIn!F28</f>
        <v>0</v>
      </c>
      <c r="G8" s="5">
        <f>DataIn!G28</f>
        <v>22284.74</v>
      </c>
      <c r="H8" s="6" t="b">
        <f>SUMPRODUCT(--ISNUMBER(SEARCH(CategoriesConfig!B$3:B$12,$B8)))&gt;0</f>
        <v>0</v>
      </c>
      <c r="I8" s="6" t="b">
        <f>SUMPRODUCT(--ISNUMBER(SEARCH(CategoriesConfig!C$3:C$12,$B8)))&gt;0</f>
        <v>0</v>
      </c>
      <c r="J8" s="6" t="b">
        <f>SUMPRODUCT(--ISNUMBER(SEARCH(CategoriesConfig!D$3:D$12,$B8)))&gt;0</f>
        <v>0</v>
      </c>
      <c r="K8" s="6" t="b">
        <f>SUMPRODUCT(--ISNUMBER(SEARCH(CategoriesConfig!E$3:E$12,$B8)))&gt;0</f>
        <v>0</v>
      </c>
      <c r="L8" s="6" t="b">
        <f>SUMPRODUCT(--ISNUMBER(SEARCH(CategoriesConfig!F$3:F$12,$B8)))&gt;0</f>
        <v>0</v>
      </c>
      <c r="M8" s="6" t="b">
        <f>SUMPRODUCT(--ISNUMBER(SEARCH(CategoriesConfig!G$3:G$12,$B8)))&gt;0</f>
        <v>0</v>
      </c>
      <c r="N8" s="6" t="b">
        <f>SUMPRODUCT(--ISNUMBER(SEARCH(CategoriesConfig!H$3:H$12,$B8)))&gt;0</f>
        <v>0</v>
      </c>
      <c r="O8" s="6" t="b">
        <f>SUMPRODUCT(--ISNUMBER(SEARCH(CategoriesConfig!I$3:I$12,$B8)))&gt;0</f>
        <v>0</v>
      </c>
      <c r="P8" s="22" t="b">
        <f t="shared" si="0"/>
        <v>1</v>
      </c>
      <c r="Q8" s="22">
        <f t="shared" si="2"/>
        <v>5</v>
      </c>
      <c r="R8" s="2" t="s">
        <v>223</v>
      </c>
      <c r="S8" s="6" t="str">
        <f t="shared" si="1"/>
        <v>M</v>
      </c>
    </row>
    <row r="9" spans="1:19" ht="13.5" thickBot="1" x14ac:dyDescent="0.25">
      <c r="A9" s="4">
        <f>DATEVALUE(DataIn!A29)</f>
        <v>42857</v>
      </c>
      <c r="B9" s="5" t="str">
        <f>DataIn!B29</f>
        <v>GOVT KKC TAX ON FX -RX42710260417001</v>
      </c>
      <c r="C9" s="5" t="str">
        <f>DataIn!C29</f>
        <v>000000000000000</v>
      </c>
      <c r="D9" s="5" t="str">
        <f>DataIn!D29</f>
        <v>02/05/17</v>
      </c>
      <c r="E9" s="5">
        <f>DataIn!E29</f>
        <v>6.62</v>
      </c>
      <c r="F9" s="5">
        <f>DataIn!F29</f>
        <v>0</v>
      </c>
      <c r="G9" s="5">
        <f>DataIn!G29</f>
        <v>22278.12</v>
      </c>
      <c r="H9" s="6" t="b">
        <f>SUMPRODUCT(--ISNUMBER(SEARCH(CategoriesConfig!B$3:B$12,$B9)))&gt;0</f>
        <v>0</v>
      </c>
      <c r="I9" s="6" t="b">
        <f>SUMPRODUCT(--ISNUMBER(SEARCH(CategoriesConfig!C$3:C$12,$B9)))&gt;0</f>
        <v>0</v>
      </c>
      <c r="J9" s="6" t="b">
        <f>SUMPRODUCT(--ISNUMBER(SEARCH(CategoriesConfig!D$3:D$12,$B9)))&gt;0</f>
        <v>0</v>
      </c>
      <c r="K9" s="6" t="b">
        <f>SUMPRODUCT(--ISNUMBER(SEARCH(CategoriesConfig!E$3:E$12,$B9)))&gt;0</f>
        <v>0</v>
      </c>
      <c r="L9" s="6" t="b">
        <f>SUMPRODUCT(--ISNUMBER(SEARCH(CategoriesConfig!F$3:F$12,$B9)))&gt;0</f>
        <v>0</v>
      </c>
      <c r="M9" s="6" t="b">
        <f>SUMPRODUCT(--ISNUMBER(SEARCH(CategoriesConfig!G$3:G$12,$B9)))&gt;0</f>
        <v>0</v>
      </c>
      <c r="N9" s="6" t="b">
        <f>SUMPRODUCT(--ISNUMBER(SEARCH(CategoriesConfig!H$3:H$12,$B9)))&gt;0</f>
        <v>0</v>
      </c>
      <c r="O9" s="6" t="b">
        <f>SUMPRODUCT(--ISNUMBER(SEARCH(CategoriesConfig!I$3:I$12,$B9)))&gt;0</f>
        <v>0</v>
      </c>
      <c r="P9" s="22" t="b">
        <f t="shared" si="0"/>
        <v>1</v>
      </c>
      <c r="Q9" s="22">
        <f t="shared" si="2"/>
        <v>5</v>
      </c>
      <c r="R9" s="2" t="s">
        <v>223</v>
      </c>
      <c r="S9" s="6" t="str">
        <f t="shared" si="1"/>
        <v>M</v>
      </c>
    </row>
    <row r="10" spans="1:19" ht="13.5" thickBot="1" x14ac:dyDescent="0.25">
      <c r="A10" s="4">
        <f>DATEVALUE(DataIn!A30)</f>
        <v>42858</v>
      </c>
      <c r="B10" s="5" t="str">
        <f>DataIn!B30</f>
        <v>POS 512967XXXXXX4422 MC DONALDS. POS DEBIT</v>
      </c>
      <c r="C10" s="5" t="str">
        <f>DataIn!C30</f>
        <v>0000000000053439</v>
      </c>
      <c r="D10" s="5" t="str">
        <f>DataIn!D30</f>
        <v>03/05/17</v>
      </c>
      <c r="E10" s="5">
        <f>DataIn!E30</f>
        <v>365.03</v>
      </c>
      <c r="F10" s="5">
        <f>DataIn!F30</f>
        <v>0</v>
      </c>
      <c r="G10" s="5">
        <f>DataIn!G30</f>
        <v>21913.09</v>
      </c>
      <c r="H10" s="6" t="b">
        <f>SUMPRODUCT(--ISNUMBER(SEARCH(CategoriesConfig!B$3:B$12,$B10)))&gt;0</f>
        <v>0</v>
      </c>
      <c r="I10" s="6" t="b">
        <f>SUMPRODUCT(--ISNUMBER(SEARCH(CategoriesConfig!C$3:C$12,$B10)))&gt;0</f>
        <v>0</v>
      </c>
      <c r="J10" s="6" t="b">
        <f>SUMPRODUCT(--ISNUMBER(SEARCH(CategoriesConfig!D$3:D$12,$B10)))&gt;0</f>
        <v>0</v>
      </c>
      <c r="K10" s="6" t="b">
        <f>SUMPRODUCT(--ISNUMBER(SEARCH(CategoriesConfig!E$3:E$12,$B10)))&gt;0</f>
        <v>0</v>
      </c>
      <c r="L10" s="6" t="b">
        <f>SUMPRODUCT(--ISNUMBER(SEARCH(CategoriesConfig!F$3:F$12,$B10)))&gt;0</f>
        <v>1</v>
      </c>
      <c r="M10" s="6" t="b">
        <f>SUMPRODUCT(--ISNUMBER(SEARCH(CategoriesConfig!G$3:G$12,$B10)))&gt;0</f>
        <v>0</v>
      </c>
      <c r="N10" s="6" t="b">
        <f>SUMPRODUCT(--ISNUMBER(SEARCH(CategoriesConfig!H$3:H$12,$B10)))&gt;0</f>
        <v>0</v>
      </c>
      <c r="O10" s="6" t="b">
        <f>SUMPRODUCT(--ISNUMBER(SEARCH(CategoriesConfig!I$3:I$12,$B10)))&gt;0</f>
        <v>0</v>
      </c>
      <c r="P10" s="22" t="b">
        <f>IF(SUMIF(H10:O10,"TRUE",H$1:O$1)=0,TRUE,FALSE)</f>
        <v>0</v>
      </c>
      <c r="Q10" s="22">
        <f t="shared" si="2"/>
        <v>5</v>
      </c>
      <c r="R10" s="2"/>
      <c r="S10" s="6" t="str">
        <f t="shared" si="1"/>
        <v>F</v>
      </c>
    </row>
    <row r="11" spans="1:19" ht="13.5" thickBot="1" x14ac:dyDescent="0.25">
      <c r="A11" s="4">
        <f>DATEVALUE(DataIn!A31)</f>
        <v>42858</v>
      </c>
      <c r="B11" s="5" t="str">
        <f>DataIn!B31</f>
        <v>POS 512967XXXXXX4422 ZES*UBER INDIA S POS DEBIT</v>
      </c>
      <c r="C11" s="5" t="str">
        <f>DataIn!C31</f>
        <v>0000712300158006</v>
      </c>
      <c r="D11" s="5" t="str">
        <f>DataIn!D31</f>
        <v>03/05/17</v>
      </c>
      <c r="E11" s="5">
        <f>DataIn!E31</f>
        <v>50</v>
      </c>
      <c r="F11" s="5">
        <f>DataIn!F31</f>
        <v>0</v>
      </c>
      <c r="G11" s="5">
        <f>DataIn!G31</f>
        <v>21863.09</v>
      </c>
      <c r="H11" s="6" t="b">
        <f>SUMPRODUCT(--ISNUMBER(SEARCH(CategoriesConfig!B$3:B$12,$B11)))&gt;0</f>
        <v>0</v>
      </c>
      <c r="I11" s="6" t="b">
        <f>SUMPRODUCT(--ISNUMBER(SEARCH(CategoriesConfig!C$3:C$12,$B11)))&gt;0</f>
        <v>1</v>
      </c>
      <c r="J11" s="6" t="b">
        <f>SUMPRODUCT(--ISNUMBER(SEARCH(CategoriesConfig!D$3:D$12,$B11)))&gt;0</f>
        <v>0</v>
      </c>
      <c r="K11" s="6" t="b">
        <f>SUMPRODUCT(--ISNUMBER(SEARCH(CategoriesConfig!E$3:E$12,$B11)))&gt;0</f>
        <v>0</v>
      </c>
      <c r="L11" s="6" t="b">
        <f>SUMPRODUCT(--ISNUMBER(SEARCH(CategoriesConfig!F$3:F$12,$B11)))&gt;0</f>
        <v>0</v>
      </c>
      <c r="M11" s="6" t="b">
        <f>SUMPRODUCT(--ISNUMBER(SEARCH(CategoriesConfig!G$3:G$12,$B11)))&gt;0</f>
        <v>0</v>
      </c>
      <c r="N11" s="6" t="b">
        <f>SUMPRODUCT(--ISNUMBER(SEARCH(CategoriesConfig!H$3:H$12,$B11)))&gt;0</f>
        <v>0</v>
      </c>
      <c r="O11" s="6" t="b">
        <f>SUMPRODUCT(--ISNUMBER(SEARCH(CategoriesConfig!I$3:I$12,$B11)))&gt;0</f>
        <v>0</v>
      </c>
      <c r="P11" s="22" t="b">
        <f t="shared" si="0"/>
        <v>0</v>
      </c>
      <c r="Q11" s="22">
        <f t="shared" si="2"/>
        <v>5</v>
      </c>
      <c r="S11" s="6" t="str">
        <f t="shared" si="1"/>
        <v>U</v>
      </c>
    </row>
    <row r="12" spans="1:19" ht="13.5" thickBot="1" x14ac:dyDescent="0.25">
      <c r="A12" s="4">
        <f>DATEVALUE(DataIn!A32)</f>
        <v>42858</v>
      </c>
      <c r="B12" s="5" t="str">
        <f>DataIn!B32</f>
        <v>POS 512967XXXXXX4422 ZES*UBER INDIA S POS DEBIT</v>
      </c>
      <c r="C12" s="5" t="str">
        <f>DataIn!C32</f>
        <v>0000712340230545</v>
      </c>
      <c r="D12" s="5" t="str">
        <f>DataIn!D32</f>
        <v>03/05/17</v>
      </c>
      <c r="E12" s="5">
        <f>DataIn!E32</f>
        <v>119.57</v>
      </c>
      <c r="F12" s="5">
        <f>DataIn!F32</f>
        <v>0</v>
      </c>
      <c r="G12" s="5">
        <f>DataIn!G32</f>
        <v>21743.52</v>
      </c>
      <c r="H12" s="6" t="b">
        <f>SUMPRODUCT(--ISNUMBER(SEARCH(CategoriesConfig!B$3:B$12,$B12)))&gt;0</f>
        <v>0</v>
      </c>
      <c r="I12" s="6" t="b">
        <f>SUMPRODUCT(--ISNUMBER(SEARCH(CategoriesConfig!C$3:C$12,$B12)))&gt;0</f>
        <v>1</v>
      </c>
      <c r="J12" s="6" t="b">
        <f>SUMPRODUCT(--ISNUMBER(SEARCH(CategoriesConfig!D$3:D$12,$B12)))&gt;0</f>
        <v>0</v>
      </c>
      <c r="K12" s="6" t="b">
        <f>SUMPRODUCT(--ISNUMBER(SEARCH(CategoriesConfig!E$3:E$12,$B12)))&gt;0</f>
        <v>0</v>
      </c>
      <c r="L12" s="6" t="b">
        <f>SUMPRODUCT(--ISNUMBER(SEARCH(CategoriesConfig!F$3:F$12,$B12)))&gt;0</f>
        <v>0</v>
      </c>
      <c r="M12" s="6" t="b">
        <f>SUMPRODUCT(--ISNUMBER(SEARCH(CategoriesConfig!G$3:G$12,$B12)))&gt;0</f>
        <v>0</v>
      </c>
      <c r="N12" s="6" t="b">
        <f>SUMPRODUCT(--ISNUMBER(SEARCH(CategoriesConfig!H$3:H$12,$B12)))&gt;0</f>
        <v>0</v>
      </c>
      <c r="O12" s="6" t="b">
        <f>SUMPRODUCT(--ISNUMBER(SEARCH(CategoriesConfig!I$3:I$12,$B12)))&gt;0</f>
        <v>0</v>
      </c>
      <c r="P12" s="22" t="b">
        <f t="shared" si="0"/>
        <v>0</v>
      </c>
      <c r="Q12" s="22">
        <f t="shared" si="2"/>
        <v>5</v>
      </c>
      <c r="S12" s="6" t="str">
        <f t="shared" si="1"/>
        <v>U</v>
      </c>
    </row>
    <row r="13" spans="1:19" ht="13.5" thickBot="1" x14ac:dyDescent="0.25">
      <c r="A13" s="4">
        <f>DATEVALUE(DataIn!A33)</f>
        <v>42858</v>
      </c>
      <c r="B13" s="5" t="str">
        <f>DataIn!B33</f>
        <v>POS 512967XXXXXX4422 DRIBBLE INC POS DEBIT</v>
      </c>
      <c r="C13" s="5" t="str">
        <f>DataIn!C33</f>
        <v>0000000000000338</v>
      </c>
      <c r="D13" s="5" t="str">
        <f>DataIn!D33</f>
        <v>03/05/17</v>
      </c>
      <c r="E13" s="5">
        <f>DataIn!E33</f>
        <v>1224</v>
      </c>
      <c r="F13" s="5">
        <f>DataIn!F33</f>
        <v>0</v>
      </c>
      <c r="G13" s="5">
        <f>DataIn!G33</f>
        <v>20519.52</v>
      </c>
      <c r="H13" s="6" t="b">
        <f>SUMPRODUCT(--ISNUMBER(SEARCH(CategoriesConfig!B$3:B$12,$B13)))&gt;0</f>
        <v>0</v>
      </c>
      <c r="I13" s="6" t="b">
        <f>SUMPRODUCT(--ISNUMBER(SEARCH(CategoriesConfig!C$3:C$12,$B13)))&gt;0</f>
        <v>0</v>
      </c>
      <c r="J13" s="6" t="b">
        <f>SUMPRODUCT(--ISNUMBER(SEARCH(CategoriesConfig!D$3:D$12,$B13)))&gt;0</f>
        <v>0</v>
      </c>
      <c r="K13" s="6" t="b">
        <f>SUMPRODUCT(--ISNUMBER(SEARCH(CategoriesConfig!E$3:E$12,$B13)))&gt;0</f>
        <v>0</v>
      </c>
      <c r="L13" s="6" t="b">
        <f>SUMPRODUCT(--ISNUMBER(SEARCH(CategoriesConfig!F$3:F$12,$B13)))&gt;0</f>
        <v>0</v>
      </c>
      <c r="M13" s="6" t="b">
        <f>SUMPRODUCT(--ISNUMBER(SEARCH(CategoriesConfig!G$3:G$12,$B13)))&gt;0</f>
        <v>1</v>
      </c>
      <c r="N13" s="6" t="b">
        <f>SUMPRODUCT(--ISNUMBER(SEARCH(CategoriesConfig!H$3:H$12,$B13)))&gt;0</f>
        <v>0</v>
      </c>
      <c r="O13" s="6" t="b">
        <f>SUMPRODUCT(--ISNUMBER(SEARCH(CategoriesConfig!I$3:I$12,$B13)))&gt;0</f>
        <v>0</v>
      </c>
      <c r="P13" s="22" t="b">
        <f t="shared" si="0"/>
        <v>0</v>
      </c>
      <c r="Q13" s="22">
        <f t="shared" si="2"/>
        <v>5</v>
      </c>
      <c r="S13" s="6" t="str">
        <f t="shared" si="1"/>
        <v>M</v>
      </c>
    </row>
    <row r="14" spans="1:19" ht="13.5" thickBot="1" x14ac:dyDescent="0.25">
      <c r="A14" s="4">
        <f>DATEVALUE(DataIn!A34)</f>
        <v>42858</v>
      </c>
      <c r="B14" s="5" t="str">
        <f>DataIn!B34</f>
        <v>POS 512967XXXXXX4422 ARBOR BREWPUB POS DEBIT</v>
      </c>
      <c r="C14" s="5" t="str">
        <f>DataIn!C34</f>
        <v>0000000000012937</v>
      </c>
      <c r="D14" s="5" t="str">
        <f>DataIn!D34</f>
        <v>03/05/17</v>
      </c>
      <c r="E14" s="5">
        <f>DataIn!E34</f>
        <v>262</v>
      </c>
      <c r="F14" s="5">
        <f>DataIn!F34</f>
        <v>0</v>
      </c>
      <c r="G14" s="5">
        <f>DataIn!G34</f>
        <v>20257.52</v>
      </c>
      <c r="H14" s="6" t="b">
        <f>SUMPRODUCT(--ISNUMBER(SEARCH(CategoriesConfig!B$3:B$12,$B14)))&gt;0</f>
        <v>0</v>
      </c>
      <c r="I14" s="6" t="b">
        <f>SUMPRODUCT(--ISNUMBER(SEARCH(CategoriesConfig!C$3:C$12,$B14)))&gt;0</f>
        <v>0</v>
      </c>
      <c r="J14" s="6" t="b">
        <f>SUMPRODUCT(--ISNUMBER(SEARCH(CategoriesConfig!D$3:D$12,$B14)))&gt;0</f>
        <v>0</v>
      </c>
      <c r="K14" s="6" t="b">
        <f>SUMPRODUCT(--ISNUMBER(SEARCH(CategoriesConfig!E$3:E$12,$B14)))&gt;0</f>
        <v>0</v>
      </c>
      <c r="L14" s="6" t="b">
        <f>SUMPRODUCT(--ISNUMBER(SEARCH(CategoriesConfig!F$3:F$12,$B14)))&gt;0</f>
        <v>1</v>
      </c>
      <c r="M14" s="6" t="b">
        <f>SUMPRODUCT(--ISNUMBER(SEARCH(CategoriesConfig!G$3:G$12,$B14)))&gt;0</f>
        <v>0</v>
      </c>
      <c r="N14" s="6" t="b">
        <f>SUMPRODUCT(--ISNUMBER(SEARCH(CategoriesConfig!H$3:H$12,$B14)))&gt;0</f>
        <v>0</v>
      </c>
      <c r="O14" s="6" t="b">
        <f>SUMPRODUCT(--ISNUMBER(SEARCH(CategoriesConfig!I$3:I$12,$B14)))&gt;0</f>
        <v>0</v>
      </c>
      <c r="P14" s="22" t="b">
        <f t="shared" si="0"/>
        <v>0</v>
      </c>
      <c r="Q14" s="22">
        <f t="shared" si="2"/>
        <v>5</v>
      </c>
      <c r="R14" s="2"/>
      <c r="S14" s="6" t="str">
        <f t="shared" si="1"/>
        <v>F</v>
      </c>
    </row>
    <row r="15" spans="1:19" ht="13.5" thickBot="1" x14ac:dyDescent="0.25">
      <c r="A15" s="4">
        <f>DATEVALUE(DataIn!A35)</f>
        <v>42859</v>
      </c>
      <c r="B15" s="5" t="str">
        <f>DataIn!B35</f>
        <v>POS 512967XXXXXX4422 ZES*UBER INDIA S POS DEBIT</v>
      </c>
      <c r="C15" s="5" t="str">
        <f>DataIn!C35</f>
        <v>0000712460263739</v>
      </c>
      <c r="D15" s="5" t="str">
        <f>DataIn!D35</f>
        <v>04/05/17</v>
      </c>
      <c r="E15" s="5">
        <f>DataIn!E35</f>
        <v>96.25</v>
      </c>
      <c r="F15" s="5">
        <f>DataIn!F35</f>
        <v>0</v>
      </c>
      <c r="G15" s="5">
        <f>DataIn!G35</f>
        <v>20161.27</v>
      </c>
      <c r="H15" s="6" t="b">
        <f>SUMPRODUCT(--ISNUMBER(SEARCH(CategoriesConfig!B$3:B$12,$B15)))&gt;0</f>
        <v>0</v>
      </c>
      <c r="I15" s="6" t="b">
        <f>SUMPRODUCT(--ISNUMBER(SEARCH(CategoriesConfig!C$3:C$12,$B15)))&gt;0</f>
        <v>1</v>
      </c>
      <c r="J15" s="6" t="b">
        <f>SUMPRODUCT(--ISNUMBER(SEARCH(CategoriesConfig!D$3:D$12,$B15)))&gt;0</f>
        <v>0</v>
      </c>
      <c r="K15" s="6" t="b">
        <f>SUMPRODUCT(--ISNUMBER(SEARCH(CategoriesConfig!E$3:E$12,$B15)))&gt;0</f>
        <v>0</v>
      </c>
      <c r="L15" s="6" t="b">
        <f>SUMPRODUCT(--ISNUMBER(SEARCH(CategoriesConfig!F$3:F$12,$B15)))&gt;0</f>
        <v>0</v>
      </c>
      <c r="M15" s="6" t="b">
        <f>SUMPRODUCT(--ISNUMBER(SEARCH(CategoriesConfig!G$3:G$12,$B15)))&gt;0</f>
        <v>0</v>
      </c>
      <c r="N15" s="6" t="b">
        <f>SUMPRODUCT(--ISNUMBER(SEARCH(CategoriesConfig!H$3:H$12,$B15)))&gt;0</f>
        <v>0</v>
      </c>
      <c r="O15" s="6" t="b">
        <f>SUMPRODUCT(--ISNUMBER(SEARCH(CategoriesConfig!I$3:I$12,$B15)))&gt;0</f>
        <v>0</v>
      </c>
      <c r="P15" s="22" t="b">
        <f t="shared" si="0"/>
        <v>0</v>
      </c>
      <c r="Q15" s="22">
        <f t="shared" si="2"/>
        <v>5</v>
      </c>
      <c r="S15" s="6" t="str">
        <f t="shared" si="1"/>
        <v>U</v>
      </c>
    </row>
    <row r="16" spans="1:19" ht="13.5" thickBot="1" x14ac:dyDescent="0.25">
      <c r="A16" s="4">
        <f>DATEVALUE(DataIn!A36)</f>
        <v>42860</v>
      </c>
      <c r="B16" s="5" t="str">
        <f>DataIn!B36</f>
        <v>POS 512967XXXXXX4422 ZES*UBER INDIA S POS DEBIT</v>
      </c>
      <c r="C16" s="5" t="str">
        <f>DataIn!C36</f>
        <v>0000712560068390</v>
      </c>
      <c r="D16" s="5" t="str">
        <f>DataIn!D36</f>
        <v>05/05/17</v>
      </c>
      <c r="E16" s="5">
        <f>DataIn!E36</f>
        <v>50</v>
      </c>
      <c r="F16" s="5">
        <f>DataIn!F36</f>
        <v>0</v>
      </c>
      <c r="G16" s="5">
        <f>DataIn!G36</f>
        <v>20111.27</v>
      </c>
      <c r="H16" s="6" t="b">
        <f>SUMPRODUCT(--ISNUMBER(SEARCH(CategoriesConfig!B$3:B$12,$B16)))&gt;0</f>
        <v>0</v>
      </c>
      <c r="I16" s="6" t="b">
        <f>SUMPRODUCT(--ISNUMBER(SEARCH(CategoriesConfig!C$3:C$12,$B16)))&gt;0</f>
        <v>1</v>
      </c>
      <c r="J16" s="6" t="b">
        <f>SUMPRODUCT(--ISNUMBER(SEARCH(CategoriesConfig!D$3:D$12,$B16)))&gt;0</f>
        <v>0</v>
      </c>
      <c r="K16" s="6" t="b">
        <f>SUMPRODUCT(--ISNUMBER(SEARCH(CategoriesConfig!E$3:E$12,$B16)))&gt;0</f>
        <v>0</v>
      </c>
      <c r="L16" s="6" t="b">
        <f>SUMPRODUCT(--ISNUMBER(SEARCH(CategoriesConfig!F$3:F$12,$B16)))&gt;0</f>
        <v>0</v>
      </c>
      <c r="M16" s="6" t="b">
        <f>SUMPRODUCT(--ISNUMBER(SEARCH(CategoriesConfig!G$3:G$12,$B16)))&gt;0</f>
        <v>0</v>
      </c>
      <c r="N16" s="6" t="b">
        <f>SUMPRODUCT(--ISNUMBER(SEARCH(CategoriesConfig!H$3:H$12,$B16)))&gt;0</f>
        <v>0</v>
      </c>
      <c r="O16" s="6" t="b">
        <f>SUMPRODUCT(--ISNUMBER(SEARCH(CategoriesConfig!I$3:I$12,$B16)))&gt;0</f>
        <v>0</v>
      </c>
      <c r="P16" s="22" t="b">
        <f t="shared" si="0"/>
        <v>0</v>
      </c>
      <c r="Q16" s="22">
        <f t="shared" si="2"/>
        <v>5</v>
      </c>
      <c r="S16" s="6" t="str">
        <f t="shared" si="1"/>
        <v>U</v>
      </c>
    </row>
    <row r="17" spans="1:19" ht="13.5" thickBot="1" x14ac:dyDescent="0.25">
      <c r="A17" s="4">
        <f>DATEVALUE(DataIn!A37)</f>
        <v>42860</v>
      </c>
      <c r="B17" s="5" t="str">
        <f>DataIn!B37</f>
        <v>POS 512967XXXXXX4422 MUNI WINES POS DEBIT</v>
      </c>
      <c r="C17" s="5" t="str">
        <f>DataIn!C37</f>
        <v>0000000000822302</v>
      </c>
      <c r="D17" s="5" t="str">
        <f>DataIn!D37</f>
        <v>05/05/17</v>
      </c>
      <c r="E17" s="5">
        <f>DataIn!E37</f>
        <v>690</v>
      </c>
      <c r="F17" s="5">
        <f>DataIn!F37</f>
        <v>0</v>
      </c>
      <c r="G17" s="5">
        <f>DataIn!G37</f>
        <v>19421.27</v>
      </c>
      <c r="H17" s="6" t="b">
        <f>SUMPRODUCT(--ISNUMBER(SEARCH(CategoriesConfig!B$3:B$12,$B17)))&gt;0</f>
        <v>0</v>
      </c>
      <c r="I17" s="6" t="b">
        <f>SUMPRODUCT(--ISNUMBER(SEARCH(CategoriesConfig!C$3:C$12,$B17)))&gt;0</f>
        <v>0</v>
      </c>
      <c r="J17" s="6" t="b">
        <f>SUMPRODUCT(--ISNUMBER(SEARCH(CategoriesConfig!D$3:D$12,$B17)))&gt;0</f>
        <v>0</v>
      </c>
      <c r="K17" s="6" t="b">
        <f>SUMPRODUCT(--ISNUMBER(SEARCH(CategoriesConfig!E$3:E$12,$B17)))&gt;0</f>
        <v>0</v>
      </c>
      <c r="L17" s="6" t="b">
        <f>SUMPRODUCT(--ISNUMBER(SEARCH(CategoriesConfig!F$3:F$12,$B17)))&gt;0</f>
        <v>1</v>
      </c>
      <c r="M17" s="6" t="b">
        <f>SUMPRODUCT(--ISNUMBER(SEARCH(CategoriesConfig!G$3:G$12,$B17)))&gt;0</f>
        <v>0</v>
      </c>
      <c r="N17" s="6" t="b">
        <f>SUMPRODUCT(--ISNUMBER(SEARCH(CategoriesConfig!H$3:H$12,$B17)))&gt;0</f>
        <v>0</v>
      </c>
      <c r="O17" s="6" t="b">
        <f>SUMPRODUCT(--ISNUMBER(SEARCH(CategoriesConfig!I$3:I$12,$B17)))&gt;0</f>
        <v>0</v>
      </c>
      <c r="P17" s="22" t="b">
        <f t="shared" si="0"/>
        <v>0</v>
      </c>
      <c r="Q17" s="22">
        <f t="shared" si="2"/>
        <v>5</v>
      </c>
      <c r="S17" s="6" t="str">
        <f t="shared" si="1"/>
        <v>F</v>
      </c>
    </row>
    <row r="18" spans="1:19" ht="13.5" thickBot="1" x14ac:dyDescent="0.25">
      <c r="A18" s="4">
        <f>DATEVALUE(DataIn!A38)</f>
        <v>42861</v>
      </c>
      <c r="B18" s="5" t="str">
        <f>DataIn!B38</f>
        <v>RX42710260417001 CHGS:ST SBC KKC 280417</v>
      </c>
      <c r="C18" s="5" t="str">
        <f>DataIn!C38</f>
        <v>0000100000000000</v>
      </c>
      <c r="D18" s="5" t="str">
        <f>DataIn!D38</f>
        <v>06/05/17</v>
      </c>
      <c r="E18" s="5">
        <f>DataIn!E38</f>
        <v>1150</v>
      </c>
      <c r="F18" s="5">
        <f>DataIn!F38</f>
        <v>0</v>
      </c>
      <c r="G18" s="5">
        <f>DataIn!G38</f>
        <v>18271.27</v>
      </c>
      <c r="H18" s="6" t="b">
        <f>SUMPRODUCT(--ISNUMBER(SEARCH(CategoriesConfig!B$3:B$12,$B18)))&gt;0</f>
        <v>0</v>
      </c>
      <c r="I18" s="6" t="b">
        <f>SUMPRODUCT(--ISNUMBER(SEARCH(CategoriesConfig!C$3:C$12,$B18)))&gt;0</f>
        <v>0</v>
      </c>
      <c r="J18" s="6" t="b">
        <f>SUMPRODUCT(--ISNUMBER(SEARCH(CategoriesConfig!D$3:D$12,$B18)))&gt;0</f>
        <v>0</v>
      </c>
      <c r="K18" s="6" t="b">
        <f>SUMPRODUCT(--ISNUMBER(SEARCH(CategoriesConfig!E$3:E$12,$B18)))&gt;0</f>
        <v>0</v>
      </c>
      <c r="L18" s="6" t="b">
        <f>SUMPRODUCT(--ISNUMBER(SEARCH(CategoriesConfig!F$3:F$12,$B18)))&gt;0</f>
        <v>0</v>
      </c>
      <c r="M18" s="6" t="b">
        <f>SUMPRODUCT(--ISNUMBER(SEARCH(CategoriesConfig!G$3:G$12,$B18)))&gt;0</f>
        <v>0</v>
      </c>
      <c r="N18" s="6" t="b">
        <f>SUMPRODUCT(--ISNUMBER(SEARCH(CategoriesConfig!H$3:H$12,$B18)))&gt;0</f>
        <v>0</v>
      </c>
      <c r="O18" s="6" t="b">
        <f>SUMPRODUCT(--ISNUMBER(SEARCH(CategoriesConfig!I$3:I$12,$B18)))&gt;0</f>
        <v>0</v>
      </c>
      <c r="P18" s="22" t="b">
        <f t="shared" si="0"/>
        <v>1</v>
      </c>
      <c r="Q18" s="22">
        <f t="shared" si="2"/>
        <v>5</v>
      </c>
      <c r="R18" s="2" t="s">
        <v>223</v>
      </c>
      <c r="S18" s="6" t="str">
        <f t="shared" si="1"/>
        <v>M</v>
      </c>
    </row>
    <row r="19" spans="1:19" ht="13.5" thickBot="1" x14ac:dyDescent="0.25">
      <c r="A19" s="4">
        <f>DATEVALUE(DataIn!A39)</f>
        <v>42861</v>
      </c>
      <c r="B19" s="5" t="str">
        <f>DataIn!B39</f>
        <v>NWD-512967XXXXXX4422-A0414001-BANGALORE I</v>
      </c>
      <c r="C19" s="5" t="str">
        <f>DataIn!C39</f>
        <v>0000712619976780</v>
      </c>
      <c r="D19" s="5" t="str">
        <f>DataIn!D39</f>
        <v>06/05/17</v>
      </c>
      <c r="E19" s="5">
        <f>DataIn!E39</f>
        <v>500</v>
      </c>
      <c r="F19" s="5">
        <f>DataIn!F39</f>
        <v>0</v>
      </c>
      <c r="G19" s="5">
        <f>DataIn!G39</f>
        <v>17771.27</v>
      </c>
      <c r="H19" s="6" t="b">
        <f>SUMPRODUCT(--ISNUMBER(SEARCH(CategoriesConfig!B$3:B$12,$B19)))&gt;0</f>
        <v>0</v>
      </c>
      <c r="I19" s="6" t="b">
        <f>SUMPRODUCT(--ISNUMBER(SEARCH(CategoriesConfig!C$3:C$12,$B19)))&gt;0</f>
        <v>0</v>
      </c>
      <c r="J19" s="6" t="b">
        <f>SUMPRODUCT(--ISNUMBER(SEARCH(CategoriesConfig!D$3:D$12,$B19)))&gt;0</f>
        <v>0</v>
      </c>
      <c r="K19" s="6" t="b">
        <f>SUMPRODUCT(--ISNUMBER(SEARCH(CategoriesConfig!E$3:E$12,$B19)))&gt;0</f>
        <v>0</v>
      </c>
      <c r="L19" s="6" t="b">
        <f>SUMPRODUCT(--ISNUMBER(SEARCH(CategoriesConfig!F$3:F$12,$B19)))&gt;0</f>
        <v>0</v>
      </c>
      <c r="M19" s="6" t="b">
        <f>SUMPRODUCT(--ISNUMBER(SEARCH(CategoriesConfig!G$3:G$12,$B19)))&gt;0</f>
        <v>0</v>
      </c>
      <c r="N19" s="6" t="b">
        <f>SUMPRODUCT(--ISNUMBER(SEARCH(CategoriesConfig!H$3:H$12,$B19)))&gt;0</f>
        <v>1</v>
      </c>
      <c r="O19" s="6" t="b">
        <f>SUMPRODUCT(--ISNUMBER(SEARCH(CategoriesConfig!I$3:I$12,$B19)))&gt;0</f>
        <v>0</v>
      </c>
      <c r="P19" s="22" t="b">
        <f t="shared" si="0"/>
        <v>0</v>
      </c>
      <c r="Q19" s="22">
        <f t="shared" si="2"/>
        <v>5</v>
      </c>
      <c r="S19" s="6" t="str">
        <f t="shared" si="1"/>
        <v>C</v>
      </c>
    </row>
    <row r="20" spans="1:19" ht="13.5" thickBot="1" x14ac:dyDescent="0.25">
      <c r="A20" s="4">
        <f>DATEVALUE(DataIn!A40)</f>
        <v>42861</v>
      </c>
      <c r="B20" s="5" t="str">
        <f>DataIn!B40</f>
        <v>POS 512967XXXXXX4422 MUNI WINES POS DEBIT</v>
      </c>
      <c r="C20" s="5" t="str">
        <f>DataIn!C40</f>
        <v>0000000000856850</v>
      </c>
      <c r="D20" s="5" t="str">
        <f>DataIn!D40</f>
        <v>06/05/17</v>
      </c>
      <c r="E20" s="5">
        <f>DataIn!E40</f>
        <v>920</v>
      </c>
      <c r="F20" s="5">
        <f>DataIn!F40</f>
        <v>0</v>
      </c>
      <c r="G20" s="5">
        <f>DataIn!G40</f>
        <v>16851.27</v>
      </c>
      <c r="H20" s="6" t="b">
        <f>SUMPRODUCT(--ISNUMBER(SEARCH(CategoriesConfig!B$3:B$12,$B20)))&gt;0</f>
        <v>0</v>
      </c>
      <c r="I20" s="6" t="b">
        <f>SUMPRODUCT(--ISNUMBER(SEARCH(CategoriesConfig!C$3:C$12,$B20)))&gt;0</f>
        <v>0</v>
      </c>
      <c r="J20" s="6" t="b">
        <f>SUMPRODUCT(--ISNUMBER(SEARCH(CategoriesConfig!D$3:D$12,$B20)))&gt;0</f>
        <v>0</v>
      </c>
      <c r="K20" s="6" t="b">
        <f>SUMPRODUCT(--ISNUMBER(SEARCH(CategoriesConfig!E$3:E$12,$B20)))&gt;0</f>
        <v>0</v>
      </c>
      <c r="L20" s="6" t="b">
        <f>SUMPRODUCT(--ISNUMBER(SEARCH(CategoriesConfig!F$3:F$12,$B20)))&gt;0</f>
        <v>1</v>
      </c>
      <c r="M20" s="6" t="b">
        <f>SUMPRODUCT(--ISNUMBER(SEARCH(CategoriesConfig!G$3:G$12,$B20)))&gt;0</f>
        <v>0</v>
      </c>
      <c r="N20" s="6" t="b">
        <f>SUMPRODUCT(--ISNUMBER(SEARCH(CategoriesConfig!H$3:H$12,$B20)))&gt;0</f>
        <v>0</v>
      </c>
      <c r="O20" s="6" t="b">
        <f>SUMPRODUCT(--ISNUMBER(SEARCH(CategoriesConfig!I$3:I$12,$B20)))&gt;0</f>
        <v>0</v>
      </c>
      <c r="P20" s="22" t="b">
        <f t="shared" si="0"/>
        <v>0</v>
      </c>
      <c r="Q20" s="22">
        <f t="shared" si="2"/>
        <v>5</v>
      </c>
      <c r="S20" s="6" t="str">
        <f t="shared" si="1"/>
        <v>F</v>
      </c>
    </row>
    <row r="21" spans="1:19" ht="13.5" thickBot="1" x14ac:dyDescent="0.25">
      <c r="A21" s="4">
        <f>DATEVALUE(DataIn!A41)</f>
        <v>42861</v>
      </c>
      <c r="B21" s="5" t="str">
        <f>DataIn!B41</f>
        <v>POS 512967XXXXXX4422 ZES*UBER INDIA S POS DEBIT</v>
      </c>
      <c r="C21" s="5" t="str">
        <f>DataIn!C41</f>
        <v>0000712660288504</v>
      </c>
      <c r="D21" s="5" t="str">
        <f>DataIn!D41</f>
        <v>06/05/17</v>
      </c>
      <c r="E21" s="5">
        <f>DataIn!E41</f>
        <v>168.44</v>
      </c>
      <c r="F21" s="5">
        <f>DataIn!F41</f>
        <v>0</v>
      </c>
      <c r="G21" s="5">
        <f>DataIn!G41</f>
        <v>16682.830000000002</v>
      </c>
      <c r="H21" s="6" t="b">
        <f>SUMPRODUCT(--ISNUMBER(SEARCH(CategoriesConfig!B$3:B$12,$B21)))&gt;0</f>
        <v>0</v>
      </c>
      <c r="I21" s="6" t="b">
        <f>SUMPRODUCT(--ISNUMBER(SEARCH(CategoriesConfig!C$3:C$12,$B21)))&gt;0</f>
        <v>1</v>
      </c>
      <c r="J21" s="6" t="b">
        <f>SUMPRODUCT(--ISNUMBER(SEARCH(CategoriesConfig!D$3:D$12,$B21)))&gt;0</f>
        <v>0</v>
      </c>
      <c r="K21" s="6" t="b">
        <f>SUMPRODUCT(--ISNUMBER(SEARCH(CategoriesConfig!E$3:E$12,$B21)))&gt;0</f>
        <v>0</v>
      </c>
      <c r="L21" s="6" t="b">
        <f>SUMPRODUCT(--ISNUMBER(SEARCH(CategoriesConfig!F$3:F$12,$B21)))&gt;0</f>
        <v>0</v>
      </c>
      <c r="M21" s="6" t="b">
        <f>SUMPRODUCT(--ISNUMBER(SEARCH(CategoriesConfig!G$3:G$12,$B21)))&gt;0</f>
        <v>0</v>
      </c>
      <c r="N21" s="6" t="b">
        <f>SUMPRODUCT(--ISNUMBER(SEARCH(CategoriesConfig!H$3:H$12,$B21)))&gt;0</f>
        <v>0</v>
      </c>
      <c r="O21" s="6" t="b">
        <f>SUMPRODUCT(--ISNUMBER(SEARCH(CategoriesConfig!I$3:I$12,$B21)))&gt;0</f>
        <v>0</v>
      </c>
      <c r="P21" s="22" t="b">
        <f t="shared" si="0"/>
        <v>0</v>
      </c>
      <c r="Q21" s="22">
        <f t="shared" si="2"/>
        <v>5</v>
      </c>
      <c r="R21" s="2"/>
      <c r="S21" s="6" t="str">
        <f t="shared" si="1"/>
        <v>U</v>
      </c>
    </row>
    <row r="22" spans="1:19" ht="13.5" thickBot="1" x14ac:dyDescent="0.25">
      <c r="A22" s="4">
        <f>DATEVALUE(DataIn!A42)</f>
        <v>42862</v>
      </c>
      <c r="B22" s="5" t="str">
        <f>DataIn!B42</f>
        <v>POS 512967XXXXXX4422 PAYU-WWW.SWIGGY. POS DEBIT</v>
      </c>
      <c r="C22" s="5" t="str">
        <f>DataIn!C42</f>
        <v>0000010016888431</v>
      </c>
      <c r="D22" s="5" t="str">
        <f>DataIn!D42</f>
        <v>07/05/17</v>
      </c>
      <c r="E22" s="5">
        <f>DataIn!E42</f>
        <v>440</v>
      </c>
      <c r="F22" s="5">
        <f>DataIn!F42</f>
        <v>0</v>
      </c>
      <c r="G22" s="5">
        <f>DataIn!G42</f>
        <v>16242.83</v>
      </c>
      <c r="H22" s="6" t="b">
        <f>SUMPRODUCT(--ISNUMBER(SEARCH(CategoriesConfig!B$3:B$12,$B22)))&gt;0</f>
        <v>0</v>
      </c>
      <c r="I22" s="6" t="b">
        <f>SUMPRODUCT(--ISNUMBER(SEARCH(CategoriesConfig!C$3:C$12,$B22)))&gt;0</f>
        <v>0</v>
      </c>
      <c r="J22" s="6" t="b">
        <f>SUMPRODUCT(--ISNUMBER(SEARCH(CategoriesConfig!D$3:D$12,$B22)))&gt;0</f>
        <v>0</v>
      </c>
      <c r="K22" s="6" t="b">
        <f>SUMPRODUCT(--ISNUMBER(SEARCH(CategoriesConfig!E$3:E$12,$B22)))&gt;0</f>
        <v>0</v>
      </c>
      <c r="L22" s="6" t="b">
        <f>SUMPRODUCT(--ISNUMBER(SEARCH(CategoriesConfig!F$3:F$12,$B22)))&gt;0</f>
        <v>1</v>
      </c>
      <c r="M22" s="6" t="b">
        <f>SUMPRODUCT(--ISNUMBER(SEARCH(CategoriesConfig!G$3:G$12,$B22)))&gt;0</f>
        <v>0</v>
      </c>
      <c r="N22" s="6" t="b">
        <f>SUMPRODUCT(--ISNUMBER(SEARCH(CategoriesConfig!H$3:H$12,$B22)))&gt;0</f>
        <v>0</v>
      </c>
      <c r="O22" s="6" t="b">
        <f>SUMPRODUCT(--ISNUMBER(SEARCH(CategoriesConfig!I$3:I$12,$B22)))&gt;0</f>
        <v>0</v>
      </c>
      <c r="P22" s="22" t="b">
        <f t="shared" si="0"/>
        <v>0</v>
      </c>
      <c r="Q22" s="22">
        <f t="shared" si="2"/>
        <v>5</v>
      </c>
      <c r="S22" s="6" t="str">
        <f t="shared" si="1"/>
        <v>F</v>
      </c>
    </row>
    <row r="23" spans="1:19" ht="13.5" thickBot="1" x14ac:dyDescent="0.25">
      <c r="A23" s="4">
        <f>DATEVALUE(DataIn!A43)</f>
        <v>42862</v>
      </c>
      <c r="B23" s="5" t="str">
        <f>DataIn!B43</f>
        <v>POS 512967XXXXXX4422 ZES*UBER INDIA S POS DEBIT</v>
      </c>
      <c r="C23" s="5" t="str">
        <f>DataIn!C43</f>
        <v>0000712740134708</v>
      </c>
      <c r="D23" s="5" t="str">
        <f>DataIn!D43</f>
        <v>07/05/17</v>
      </c>
      <c r="E23" s="5">
        <f>DataIn!E43</f>
        <v>83.01</v>
      </c>
      <c r="F23" s="5">
        <f>DataIn!F43</f>
        <v>0</v>
      </c>
      <c r="G23" s="5">
        <f>DataIn!G43</f>
        <v>16159.82</v>
      </c>
      <c r="H23" s="6" t="b">
        <f>SUMPRODUCT(--ISNUMBER(SEARCH(CategoriesConfig!B$3:B$12,$B23)))&gt;0</f>
        <v>0</v>
      </c>
      <c r="I23" s="6" t="b">
        <f>SUMPRODUCT(--ISNUMBER(SEARCH(CategoriesConfig!C$3:C$12,$B23)))&gt;0</f>
        <v>1</v>
      </c>
      <c r="J23" s="6" t="b">
        <f>SUMPRODUCT(--ISNUMBER(SEARCH(CategoriesConfig!D$3:D$12,$B23)))&gt;0</f>
        <v>0</v>
      </c>
      <c r="K23" s="6" t="b">
        <f>SUMPRODUCT(--ISNUMBER(SEARCH(CategoriesConfig!E$3:E$12,$B23)))&gt;0</f>
        <v>0</v>
      </c>
      <c r="L23" s="6" t="b">
        <f>SUMPRODUCT(--ISNUMBER(SEARCH(CategoriesConfig!F$3:F$12,$B23)))&gt;0</f>
        <v>0</v>
      </c>
      <c r="M23" s="6" t="b">
        <f>SUMPRODUCT(--ISNUMBER(SEARCH(CategoriesConfig!G$3:G$12,$B23)))&gt;0</f>
        <v>0</v>
      </c>
      <c r="N23" s="6" t="b">
        <f>SUMPRODUCT(--ISNUMBER(SEARCH(CategoriesConfig!H$3:H$12,$B23)))&gt;0</f>
        <v>0</v>
      </c>
      <c r="O23" s="6" t="b">
        <f>SUMPRODUCT(--ISNUMBER(SEARCH(CategoriesConfig!I$3:I$12,$B23)))&gt;0</f>
        <v>0</v>
      </c>
      <c r="P23" s="22" t="b">
        <f t="shared" si="0"/>
        <v>0</v>
      </c>
      <c r="Q23" s="22">
        <f t="shared" si="2"/>
        <v>5</v>
      </c>
      <c r="S23" s="6" t="str">
        <f t="shared" si="1"/>
        <v>U</v>
      </c>
    </row>
    <row r="24" spans="1:19" ht="13.5" thickBot="1" x14ac:dyDescent="0.25">
      <c r="A24" s="4">
        <f>DATEVALUE(DataIn!A44)</f>
        <v>42862</v>
      </c>
      <c r="B24" s="5" t="str">
        <f>DataIn!B44</f>
        <v>POS 512967XXXXXX4422 ZES*UBER INDIA S POS DEBIT</v>
      </c>
      <c r="C24" s="5" t="str">
        <f>DataIn!C44</f>
        <v>0000712700147372</v>
      </c>
      <c r="D24" s="5" t="str">
        <f>DataIn!D44</f>
        <v>07/05/17</v>
      </c>
      <c r="E24" s="5">
        <f>DataIn!E44</f>
        <v>127.04</v>
      </c>
      <c r="F24" s="5">
        <f>DataIn!F44</f>
        <v>0</v>
      </c>
      <c r="G24" s="5">
        <f>DataIn!G44</f>
        <v>16032.78</v>
      </c>
      <c r="H24" s="6" t="b">
        <f>SUMPRODUCT(--ISNUMBER(SEARCH(CategoriesConfig!B$3:B$12,$B24)))&gt;0</f>
        <v>0</v>
      </c>
      <c r="I24" s="6" t="b">
        <f>SUMPRODUCT(--ISNUMBER(SEARCH(CategoriesConfig!C$3:C$12,$B24)))&gt;0</f>
        <v>1</v>
      </c>
      <c r="J24" s="6" t="b">
        <f>SUMPRODUCT(--ISNUMBER(SEARCH(CategoriesConfig!D$3:D$12,$B24)))&gt;0</f>
        <v>0</v>
      </c>
      <c r="K24" s="6" t="b">
        <f>SUMPRODUCT(--ISNUMBER(SEARCH(CategoriesConfig!E$3:E$12,$B24)))&gt;0</f>
        <v>0</v>
      </c>
      <c r="L24" s="6" t="b">
        <f>SUMPRODUCT(--ISNUMBER(SEARCH(CategoriesConfig!F$3:F$12,$B24)))&gt;0</f>
        <v>0</v>
      </c>
      <c r="M24" s="6" t="b">
        <f>SUMPRODUCT(--ISNUMBER(SEARCH(CategoriesConfig!G$3:G$12,$B24)))&gt;0</f>
        <v>0</v>
      </c>
      <c r="N24" s="6" t="b">
        <f>SUMPRODUCT(--ISNUMBER(SEARCH(CategoriesConfig!H$3:H$12,$B24)))&gt;0</f>
        <v>0</v>
      </c>
      <c r="O24" s="6" t="b">
        <f>SUMPRODUCT(--ISNUMBER(SEARCH(CategoriesConfig!I$3:I$12,$B24)))&gt;0</f>
        <v>0</v>
      </c>
      <c r="P24" s="22" t="b">
        <f t="shared" si="0"/>
        <v>0</v>
      </c>
      <c r="Q24" s="22">
        <f t="shared" si="2"/>
        <v>5</v>
      </c>
      <c r="S24" s="6" t="str">
        <f t="shared" si="1"/>
        <v>U</v>
      </c>
    </row>
    <row r="25" spans="1:19" ht="13.5" thickBot="1" x14ac:dyDescent="0.25">
      <c r="A25" s="4">
        <f>DATEVALUE(DataIn!A45)</f>
        <v>42863</v>
      </c>
      <c r="B25" s="5" t="str">
        <f>DataIn!B45</f>
        <v>POS 512967XXXXXX4422 CELEBRATIONS, POS DEBIT</v>
      </c>
      <c r="C25" s="5" t="str">
        <f>DataIn!C45</f>
        <v>0000000000004912</v>
      </c>
      <c r="D25" s="5" t="str">
        <f>DataIn!D45</f>
        <v>08/05/17</v>
      </c>
      <c r="E25" s="5">
        <f>DataIn!E45</f>
        <v>75</v>
      </c>
      <c r="F25" s="5">
        <f>DataIn!F45</f>
        <v>0</v>
      </c>
      <c r="G25" s="5">
        <f>DataIn!G45</f>
        <v>15957.78</v>
      </c>
      <c r="H25" s="6" t="b">
        <f>SUMPRODUCT(--ISNUMBER(SEARCH(CategoriesConfig!B$3:B$12,$B25)))&gt;0</f>
        <v>0</v>
      </c>
      <c r="I25" s="6" t="b">
        <f>SUMPRODUCT(--ISNUMBER(SEARCH(CategoriesConfig!C$3:C$12,$B25)))&gt;0</f>
        <v>0</v>
      </c>
      <c r="J25" s="6" t="b">
        <f>SUMPRODUCT(--ISNUMBER(SEARCH(CategoriesConfig!D$3:D$12,$B25)))&gt;0</f>
        <v>1</v>
      </c>
      <c r="K25" s="6" t="b">
        <f>SUMPRODUCT(--ISNUMBER(SEARCH(CategoriesConfig!E$3:E$12,$B25)))&gt;0</f>
        <v>0</v>
      </c>
      <c r="L25" s="6" t="b">
        <f>SUMPRODUCT(--ISNUMBER(SEARCH(CategoriesConfig!F$3:F$12,$B25)))&gt;0</f>
        <v>0</v>
      </c>
      <c r="M25" s="6" t="b">
        <f>SUMPRODUCT(--ISNUMBER(SEARCH(CategoriesConfig!G$3:G$12,$B25)))&gt;0</f>
        <v>0</v>
      </c>
      <c r="N25" s="6" t="b">
        <f>SUMPRODUCT(--ISNUMBER(SEARCH(CategoriesConfig!H$3:H$12,$B25)))&gt;0</f>
        <v>0</v>
      </c>
      <c r="O25" s="6" t="b">
        <f>SUMPRODUCT(--ISNUMBER(SEARCH(CategoriesConfig!I$3:I$12,$B25)))&gt;0</f>
        <v>0</v>
      </c>
      <c r="P25" s="22" t="b">
        <f t="shared" si="0"/>
        <v>0</v>
      </c>
      <c r="Q25" s="22">
        <f t="shared" si="2"/>
        <v>5</v>
      </c>
      <c r="S25" s="6" t="str">
        <f t="shared" si="1"/>
        <v>L</v>
      </c>
    </row>
    <row r="26" spans="1:19" ht="13.5" thickBot="1" x14ac:dyDescent="0.25">
      <c r="A26" s="4">
        <f>DATEVALUE(DataIn!A46)</f>
        <v>42863</v>
      </c>
      <c r="B26" s="5" t="str">
        <f>DataIn!B46</f>
        <v>EAW-512967XXXXXX4422-BLON1845-BANGALORE</v>
      </c>
      <c r="C26" s="5" t="str">
        <f>DataIn!C46</f>
        <v>0000712813253690</v>
      </c>
      <c r="D26" s="5" t="str">
        <f>DataIn!D46</f>
        <v>08/05/17</v>
      </c>
      <c r="E26" s="5">
        <f>DataIn!E46</f>
        <v>500</v>
      </c>
      <c r="F26" s="5">
        <f>DataIn!F46</f>
        <v>0</v>
      </c>
      <c r="G26" s="5">
        <f>DataIn!G46</f>
        <v>15457.78</v>
      </c>
      <c r="H26" s="6" t="b">
        <f>SUMPRODUCT(--ISNUMBER(SEARCH(CategoriesConfig!B$3:B$12,$B26)))&gt;0</f>
        <v>0</v>
      </c>
      <c r="I26" s="6" t="b">
        <f>SUMPRODUCT(--ISNUMBER(SEARCH(CategoriesConfig!C$3:C$12,$B26)))&gt;0</f>
        <v>0</v>
      </c>
      <c r="J26" s="6" t="b">
        <f>SUMPRODUCT(--ISNUMBER(SEARCH(CategoriesConfig!D$3:D$12,$B26)))&gt;0</f>
        <v>0</v>
      </c>
      <c r="K26" s="6" t="b">
        <f>SUMPRODUCT(--ISNUMBER(SEARCH(CategoriesConfig!E$3:E$12,$B26)))&gt;0</f>
        <v>0</v>
      </c>
      <c r="L26" s="6" t="b">
        <f>SUMPRODUCT(--ISNUMBER(SEARCH(CategoriesConfig!F$3:F$12,$B26)))&gt;0</f>
        <v>0</v>
      </c>
      <c r="M26" s="6" t="b">
        <f>SUMPRODUCT(--ISNUMBER(SEARCH(CategoriesConfig!G$3:G$12,$B26)))&gt;0</f>
        <v>0</v>
      </c>
      <c r="N26" s="6" t="b">
        <f>SUMPRODUCT(--ISNUMBER(SEARCH(CategoriesConfig!H$3:H$12,$B26)))&gt;0</f>
        <v>1</v>
      </c>
      <c r="O26" s="6" t="b">
        <f>SUMPRODUCT(--ISNUMBER(SEARCH(CategoriesConfig!I$3:I$12,$B26)))&gt;0</f>
        <v>0</v>
      </c>
      <c r="P26" s="22" t="b">
        <f t="shared" si="0"/>
        <v>0</v>
      </c>
      <c r="Q26" s="22">
        <f t="shared" si="2"/>
        <v>5</v>
      </c>
      <c r="S26" s="6" t="str">
        <f t="shared" si="1"/>
        <v>C</v>
      </c>
    </row>
    <row r="27" spans="1:19" ht="13.5" thickBot="1" x14ac:dyDescent="0.25">
      <c r="A27" s="4">
        <f>DATEVALUE(DataIn!A47)</f>
        <v>42864</v>
      </c>
      <c r="B27" s="5" t="str">
        <f>DataIn!B47</f>
        <v>POS 512967XXXXXX4422 MC DONALDS. POS DEBIT</v>
      </c>
      <c r="C27" s="5" t="str">
        <f>DataIn!C47</f>
        <v>0000000000054176</v>
      </c>
      <c r="D27" s="5" t="str">
        <f>DataIn!D47</f>
        <v>09/05/17</v>
      </c>
      <c r="E27" s="5">
        <f>DataIn!E47</f>
        <v>333.15</v>
      </c>
      <c r="F27" s="5">
        <f>DataIn!F47</f>
        <v>0</v>
      </c>
      <c r="G27" s="5">
        <f>DataIn!G47</f>
        <v>15124.63</v>
      </c>
      <c r="H27" s="6" t="b">
        <f>SUMPRODUCT(--ISNUMBER(SEARCH(CategoriesConfig!B$3:B$12,$B27)))&gt;0</f>
        <v>0</v>
      </c>
      <c r="I27" s="6" t="b">
        <f>SUMPRODUCT(--ISNUMBER(SEARCH(CategoriesConfig!C$3:C$12,$B27)))&gt;0</f>
        <v>0</v>
      </c>
      <c r="J27" s="6" t="b">
        <f>SUMPRODUCT(--ISNUMBER(SEARCH(CategoriesConfig!D$3:D$12,$B27)))&gt;0</f>
        <v>0</v>
      </c>
      <c r="K27" s="6" t="b">
        <f>SUMPRODUCT(--ISNUMBER(SEARCH(CategoriesConfig!E$3:E$12,$B27)))&gt;0</f>
        <v>0</v>
      </c>
      <c r="L27" s="6" t="b">
        <f>SUMPRODUCT(--ISNUMBER(SEARCH(CategoriesConfig!F$3:F$12,$B27)))&gt;0</f>
        <v>1</v>
      </c>
      <c r="M27" s="6" t="b">
        <f>SUMPRODUCT(--ISNUMBER(SEARCH(CategoriesConfig!G$3:G$12,$B27)))&gt;0</f>
        <v>0</v>
      </c>
      <c r="N27" s="6" t="b">
        <f>SUMPRODUCT(--ISNUMBER(SEARCH(CategoriesConfig!H$3:H$12,$B27)))&gt;0</f>
        <v>0</v>
      </c>
      <c r="O27" s="6" t="b">
        <f>SUMPRODUCT(--ISNUMBER(SEARCH(CategoriesConfig!I$3:I$12,$B27)))&gt;0</f>
        <v>0</v>
      </c>
      <c r="P27" s="22" t="b">
        <f t="shared" si="0"/>
        <v>0</v>
      </c>
      <c r="Q27" s="22">
        <f t="shared" si="2"/>
        <v>5</v>
      </c>
      <c r="S27" s="6" t="str">
        <f t="shared" si="1"/>
        <v>F</v>
      </c>
    </row>
    <row r="28" spans="1:19" ht="13.5" thickBot="1" x14ac:dyDescent="0.25">
      <c r="A28" s="4">
        <f>DATEVALUE(DataIn!A48)</f>
        <v>42865</v>
      </c>
      <c r="B28" s="5" t="str">
        <f>DataIn!B48</f>
        <v>POS 512967XXXXXX4422 ZES*UBER INDIA S POS DEBIT</v>
      </c>
      <c r="C28" s="5" t="str">
        <f>DataIn!C48</f>
        <v>0000713060030459</v>
      </c>
      <c r="D28" s="5" t="str">
        <f>DataIn!D48</f>
        <v>10/05/17</v>
      </c>
      <c r="E28" s="5">
        <f>DataIn!E48</f>
        <v>68.47</v>
      </c>
      <c r="F28" s="5">
        <f>DataIn!F48</f>
        <v>0</v>
      </c>
      <c r="G28" s="5">
        <f>DataIn!G48</f>
        <v>15056.16</v>
      </c>
      <c r="H28" s="6" t="b">
        <f>SUMPRODUCT(--ISNUMBER(SEARCH(CategoriesConfig!B$3:B$12,$B28)))&gt;0</f>
        <v>0</v>
      </c>
      <c r="I28" s="6" t="b">
        <f>SUMPRODUCT(--ISNUMBER(SEARCH(CategoriesConfig!C$3:C$12,$B28)))&gt;0</f>
        <v>1</v>
      </c>
      <c r="J28" s="6" t="b">
        <f>SUMPRODUCT(--ISNUMBER(SEARCH(CategoriesConfig!D$3:D$12,$B28)))&gt;0</f>
        <v>0</v>
      </c>
      <c r="K28" s="6" t="b">
        <f>SUMPRODUCT(--ISNUMBER(SEARCH(CategoriesConfig!E$3:E$12,$B28)))&gt;0</f>
        <v>0</v>
      </c>
      <c r="L28" s="6" t="b">
        <f>SUMPRODUCT(--ISNUMBER(SEARCH(CategoriesConfig!F$3:F$12,$B28)))&gt;0</f>
        <v>0</v>
      </c>
      <c r="M28" s="6" t="b">
        <f>SUMPRODUCT(--ISNUMBER(SEARCH(CategoriesConfig!G$3:G$12,$B28)))&gt;0</f>
        <v>0</v>
      </c>
      <c r="N28" s="6" t="b">
        <f>SUMPRODUCT(--ISNUMBER(SEARCH(CategoriesConfig!H$3:H$12,$B28)))&gt;0</f>
        <v>0</v>
      </c>
      <c r="O28" s="6" t="b">
        <f>SUMPRODUCT(--ISNUMBER(SEARCH(CategoriesConfig!I$3:I$12,$B28)))&gt;0</f>
        <v>0</v>
      </c>
      <c r="P28" s="22" t="b">
        <f t="shared" si="0"/>
        <v>0</v>
      </c>
      <c r="Q28" s="22">
        <f t="shared" si="2"/>
        <v>5</v>
      </c>
      <c r="S28" s="6" t="str">
        <f t="shared" si="1"/>
        <v>U</v>
      </c>
    </row>
    <row r="29" spans="1:19" ht="13.5" thickBot="1" x14ac:dyDescent="0.25">
      <c r="A29" s="4">
        <f>DATEVALUE(DataIn!A49)</f>
        <v>42865</v>
      </c>
      <c r="B29" s="5" t="str">
        <f>DataIn!B49</f>
        <v>POS 512967XXXXXX4422 NIKE, ORION MALL POS DEBIT</v>
      </c>
      <c r="C29" s="5" t="str">
        <f>DataIn!C49</f>
        <v>0000000000062597</v>
      </c>
      <c r="D29" s="5" t="str">
        <f>DataIn!D49</f>
        <v>10/05/17</v>
      </c>
      <c r="E29" s="5">
        <f>DataIn!E49</f>
        <v>4495</v>
      </c>
      <c r="F29" s="5">
        <f>DataIn!F49</f>
        <v>0</v>
      </c>
      <c r="G29" s="5">
        <f>DataIn!G49</f>
        <v>10561.16</v>
      </c>
      <c r="H29" s="6" t="b">
        <f>SUMPRODUCT(--ISNUMBER(SEARCH(CategoriesConfig!B$3:B$12,$B29)))&gt;0</f>
        <v>0</v>
      </c>
      <c r="I29" s="6" t="b">
        <f>SUMPRODUCT(--ISNUMBER(SEARCH(CategoriesConfig!C$3:C$12,$B29)))&gt;0</f>
        <v>0</v>
      </c>
      <c r="J29" s="6" t="b">
        <f>SUMPRODUCT(--ISNUMBER(SEARCH(CategoriesConfig!D$3:D$12,$B29)))&gt;0</f>
        <v>0</v>
      </c>
      <c r="K29" s="6" t="b">
        <f>SUMPRODUCT(--ISNUMBER(SEARCH(CategoriesConfig!E$3:E$12,$B29)))&gt;0</f>
        <v>0</v>
      </c>
      <c r="L29" s="6" t="b">
        <f>SUMPRODUCT(--ISNUMBER(SEARCH(CategoriesConfig!F$3:F$12,$B29)))&gt;0</f>
        <v>0</v>
      </c>
      <c r="M29" s="6" t="b">
        <f>SUMPRODUCT(--ISNUMBER(SEARCH(CategoriesConfig!G$3:G$12,$B29)))&gt;0</f>
        <v>0</v>
      </c>
      <c r="N29" s="6" t="b">
        <f>SUMPRODUCT(--ISNUMBER(SEARCH(CategoriesConfig!H$3:H$12,$B29)))&gt;0</f>
        <v>0</v>
      </c>
      <c r="O29" s="6" t="b">
        <f>SUMPRODUCT(--ISNUMBER(SEARCH(CategoriesConfig!I$3:I$12,$B29)))&gt;0</f>
        <v>0</v>
      </c>
      <c r="P29" s="22" t="b">
        <f t="shared" si="0"/>
        <v>1</v>
      </c>
      <c r="Q29" s="22">
        <f t="shared" si="2"/>
        <v>5</v>
      </c>
      <c r="R29" s="2" t="s">
        <v>220</v>
      </c>
      <c r="S29" s="6" t="str">
        <f t="shared" si="1"/>
        <v>S</v>
      </c>
    </row>
    <row r="30" spans="1:19" ht="13.5" thickBot="1" x14ac:dyDescent="0.25">
      <c r="A30" s="4">
        <f>DATEVALUE(DataIn!A50)</f>
        <v>42865</v>
      </c>
      <c r="B30" s="5" t="str">
        <f>DataIn!B50</f>
        <v>POS 512967XXXXXX4422 ZES*UBER INDIA S POS DEBIT</v>
      </c>
      <c r="C30" s="5" t="str">
        <f>DataIn!C50</f>
        <v>0000713060221948</v>
      </c>
      <c r="D30" s="5" t="str">
        <f>DataIn!D50</f>
        <v>10/05/17</v>
      </c>
      <c r="E30" s="5">
        <f>DataIn!E50</f>
        <v>67.48</v>
      </c>
      <c r="F30" s="5">
        <f>DataIn!F50</f>
        <v>0</v>
      </c>
      <c r="G30" s="5">
        <f>DataIn!G50</f>
        <v>10493.68</v>
      </c>
      <c r="H30" s="6" t="b">
        <f>SUMPRODUCT(--ISNUMBER(SEARCH(CategoriesConfig!B$3:B$12,$B30)))&gt;0</f>
        <v>0</v>
      </c>
      <c r="I30" s="6" t="b">
        <f>SUMPRODUCT(--ISNUMBER(SEARCH(CategoriesConfig!C$3:C$12,$B30)))&gt;0</f>
        <v>1</v>
      </c>
      <c r="J30" s="6" t="b">
        <f>SUMPRODUCT(--ISNUMBER(SEARCH(CategoriesConfig!D$3:D$12,$B30)))&gt;0</f>
        <v>0</v>
      </c>
      <c r="K30" s="6" t="b">
        <f>SUMPRODUCT(--ISNUMBER(SEARCH(CategoriesConfig!E$3:E$12,$B30)))&gt;0</f>
        <v>0</v>
      </c>
      <c r="L30" s="6" t="b">
        <f>SUMPRODUCT(--ISNUMBER(SEARCH(CategoriesConfig!F$3:F$12,$B30)))&gt;0</f>
        <v>0</v>
      </c>
      <c r="M30" s="6" t="b">
        <f>SUMPRODUCT(--ISNUMBER(SEARCH(CategoriesConfig!G$3:G$12,$B30)))&gt;0</f>
        <v>0</v>
      </c>
      <c r="N30" s="6" t="b">
        <f>SUMPRODUCT(--ISNUMBER(SEARCH(CategoriesConfig!H$3:H$12,$B30)))&gt;0</f>
        <v>0</v>
      </c>
      <c r="O30" s="6" t="b">
        <f>SUMPRODUCT(--ISNUMBER(SEARCH(CategoriesConfig!I$3:I$12,$B30)))&gt;0</f>
        <v>0</v>
      </c>
      <c r="P30" s="22" t="b">
        <f t="shared" si="0"/>
        <v>0</v>
      </c>
      <c r="Q30" s="22">
        <f t="shared" si="2"/>
        <v>5</v>
      </c>
      <c r="S30" s="6" t="str">
        <f t="shared" si="1"/>
        <v>U</v>
      </c>
    </row>
    <row r="31" spans="1:19" ht="13.5" thickBot="1" x14ac:dyDescent="0.25">
      <c r="A31" s="4">
        <f>DATEVALUE(DataIn!A51)</f>
        <v>42865</v>
      </c>
      <c r="B31" s="5" t="str">
        <f>DataIn!B51</f>
        <v>POS 512967XXXXXX4422 PTM*PAYTM POS DEBIT</v>
      </c>
      <c r="C31" s="5" t="str">
        <f>DataIn!C51</f>
        <v>0000713000144139</v>
      </c>
      <c r="D31" s="5" t="str">
        <f>DataIn!D51</f>
        <v>10/05/17</v>
      </c>
      <c r="E31" s="5">
        <f>DataIn!E51</f>
        <v>59</v>
      </c>
      <c r="F31" s="5">
        <f>DataIn!F51</f>
        <v>0</v>
      </c>
      <c r="G31" s="5">
        <f>DataIn!G51</f>
        <v>10434.68</v>
      </c>
      <c r="H31" s="6" t="b">
        <f>SUMPRODUCT(--ISNUMBER(SEARCH(CategoriesConfig!B$3:B$12,$B31)))&gt;0</f>
        <v>0</v>
      </c>
      <c r="I31" s="6" t="b">
        <f>SUMPRODUCT(--ISNUMBER(SEARCH(CategoriesConfig!C$3:C$12,$B31)))&gt;0</f>
        <v>0</v>
      </c>
      <c r="J31" s="6" t="b">
        <f>SUMPRODUCT(--ISNUMBER(SEARCH(CategoriesConfig!D$3:D$12,$B31)))&gt;0</f>
        <v>0</v>
      </c>
      <c r="K31" s="6" t="b">
        <f>SUMPRODUCT(--ISNUMBER(SEARCH(CategoriesConfig!E$3:E$12,$B31)))&gt;0</f>
        <v>0</v>
      </c>
      <c r="L31" s="6" t="b">
        <f>SUMPRODUCT(--ISNUMBER(SEARCH(CategoriesConfig!F$3:F$12,$B31)))&gt;0</f>
        <v>0</v>
      </c>
      <c r="M31" s="6" t="b">
        <f>SUMPRODUCT(--ISNUMBER(SEARCH(CategoriesConfig!G$3:G$12,$B31)))&gt;0</f>
        <v>0</v>
      </c>
      <c r="N31" s="6" t="b">
        <f>SUMPRODUCT(--ISNUMBER(SEARCH(CategoriesConfig!H$3:H$12,$B31)))&gt;0</f>
        <v>0</v>
      </c>
      <c r="O31" s="6" t="b">
        <f>SUMPRODUCT(--ISNUMBER(SEARCH(CategoriesConfig!I$3:I$12,$B31)))&gt;0</f>
        <v>0</v>
      </c>
      <c r="P31" s="22" t="b">
        <f t="shared" si="0"/>
        <v>1</v>
      </c>
      <c r="Q31" s="22">
        <f t="shared" si="2"/>
        <v>5</v>
      </c>
      <c r="R31" s="2" t="s">
        <v>223</v>
      </c>
      <c r="S31" s="6" t="str">
        <f t="shared" si="1"/>
        <v>M</v>
      </c>
    </row>
    <row r="32" spans="1:19" ht="13.5" thickBot="1" x14ac:dyDescent="0.25">
      <c r="A32" s="4">
        <f>DATEVALUE(DataIn!A52)</f>
        <v>42866</v>
      </c>
      <c r="B32" s="5" t="str">
        <f>DataIn!B52</f>
        <v>POS 512967XXXXXX4422 ARBOR BREWPUB POS DEBIT</v>
      </c>
      <c r="C32" s="5" t="str">
        <f>DataIn!C52</f>
        <v>0000000000021623</v>
      </c>
      <c r="D32" s="5" t="str">
        <f>DataIn!D52</f>
        <v>11/05/17</v>
      </c>
      <c r="E32" s="5">
        <f>DataIn!E52</f>
        <v>1170</v>
      </c>
      <c r="F32" s="5">
        <f>DataIn!F52</f>
        <v>0</v>
      </c>
      <c r="G32" s="5">
        <f>DataIn!G52</f>
        <v>9264.68</v>
      </c>
      <c r="H32" s="6" t="b">
        <f>SUMPRODUCT(--ISNUMBER(SEARCH(CategoriesConfig!B$3:B$12,$B32)))&gt;0</f>
        <v>0</v>
      </c>
      <c r="I32" s="6" t="b">
        <f>SUMPRODUCT(--ISNUMBER(SEARCH(CategoriesConfig!C$3:C$12,$B32)))&gt;0</f>
        <v>0</v>
      </c>
      <c r="J32" s="6" t="b">
        <f>SUMPRODUCT(--ISNUMBER(SEARCH(CategoriesConfig!D$3:D$12,$B32)))&gt;0</f>
        <v>0</v>
      </c>
      <c r="K32" s="6" t="b">
        <f>SUMPRODUCT(--ISNUMBER(SEARCH(CategoriesConfig!E$3:E$12,$B32)))&gt;0</f>
        <v>0</v>
      </c>
      <c r="L32" s="6" t="b">
        <f>SUMPRODUCT(--ISNUMBER(SEARCH(CategoriesConfig!F$3:F$12,$B32)))&gt;0</f>
        <v>1</v>
      </c>
      <c r="M32" s="6" t="b">
        <f>SUMPRODUCT(--ISNUMBER(SEARCH(CategoriesConfig!G$3:G$12,$B32)))&gt;0</f>
        <v>0</v>
      </c>
      <c r="N32" s="6" t="b">
        <f>SUMPRODUCT(--ISNUMBER(SEARCH(CategoriesConfig!H$3:H$12,$B32)))&gt;0</f>
        <v>0</v>
      </c>
      <c r="O32" s="6" t="b">
        <f>SUMPRODUCT(--ISNUMBER(SEARCH(CategoriesConfig!I$3:I$12,$B32)))&gt;0</f>
        <v>0</v>
      </c>
      <c r="P32" s="22" t="b">
        <f t="shared" si="0"/>
        <v>0</v>
      </c>
      <c r="Q32" s="22">
        <f t="shared" si="2"/>
        <v>5</v>
      </c>
      <c r="R32" s="2"/>
      <c r="S32" s="6" t="str">
        <f t="shared" si="1"/>
        <v>F</v>
      </c>
    </row>
    <row r="33" spans="1:19" ht="13.5" thickBot="1" x14ac:dyDescent="0.25">
      <c r="A33" s="4">
        <f>DATEVALUE(DataIn!A53)</f>
        <v>42866</v>
      </c>
      <c r="B33" s="5" t="str">
        <f>DataIn!B53</f>
        <v>POS 512967XXXXXX4422 ZES*UBER INDIA S POS DEBIT</v>
      </c>
      <c r="C33" s="5" t="str">
        <f>DataIn!C53</f>
        <v>0000713160202490</v>
      </c>
      <c r="D33" s="5" t="str">
        <f>DataIn!D53</f>
        <v>11/05/17</v>
      </c>
      <c r="E33" s="5">
        <f>DataIn!E53</f>
        <v>89.93</v>
      </c>
      <c r="F33" s="5">
        <f>DataIn!F53</f>
        <v>0</v>
      </c>
      <c r="G33" s="5">
        <f>DataIn!G53</f>
        <v>9174.75</v>
      </c>
      <c r="H33" s="6" t="b">
        <f>SUMPRODUCT(--ISNUMBER(SEARCH(CategoriesConfig!B$3:B$12,$B33)))&gt;0</f>
        <v>0</v>
      </c>
      <c r="I33" s="6" t="b">
        <f>SUMPRODUCT(--ISNUMBER(SEARCH(CategoriesConfig!C$3:C$12,$B33)))&gt;0</f>
        <v>1</v>
      </c>
      <c r="J33" s="6" t="b">
        <f>SUMPRODUCT(--ISNUMBER(SEARCH(CategoriesConfig!D$3:D$12,$B33)))&gt;0</f>
        <v>0</v>
      </c>
      <c r="K33" s="6" t="b">
        <f>SUMPRODUCT(--ISNUMBER(SEARCH(CategoriesConfig!E$3:E$12,$B33)))&gt;0</f>
        <v>0</v>
      </c>
      <c r="L33" s="6" t="b">
        <f>SUMPRODUCT(--ISNUMBER(SEARCH(CategoriesConfig!F$3:F$12,$B33)))&gt;0</f>
        <v>0</v>
      </c>
      <c r="M33" s="6" t="b">
        <f>SUMPRODUCT(--ISNUMBER(SEARCH(CategoriesConfig!G$3:G$12,$B33)))&gt;0</f>
        <v>0</v>
      </c>
      <c r="N33" s="6" t="b">
        <f>SUMPRODUCT(--ISNUMBER(SEARCH(CategoriesConfig!H$3:H$12,$B33)))&gt;0</f>
        <v>0</v>
      </c>
      <c r="O33" s="6" t="b">
        <f>SUMPRODUCT(--ISNUMBER(SEARCH(CategoriesConfig!I$3:I$12,$B33)))&gt;0</f>
        <v>0</v>
      </c>
      <c r="P33" s="22" t="b">
        <f t="shared" si="0"/>
        <v>0</v>
      </c>
      <c r="Q33" s="22">
        <f t="shared" si="2"/>
        <v>5</v>
      </c>
      <c r="S33" s="6" t="str">
        <f t="shared" si="1"/>
        <v>U</v>
      </c>
    </row>
    <row r="34" spans="1:19" ht="13.5" thickBot="1" x14ac:dyDescent="0.25">
      <c r="A34" s="4">
        <f>DATEVALUE(DataIn!A54)</f>
        <v>42867</v>
      </c>
      <c r="B34" s="5" t="str">
        <f>DataIn!B54</f>
        <v>POS 512967XXXXXX4422 ZES*UBER INDIA S POS DEBIT</v>
      </c>
      <c r="C34" s="5" t="str">
        <f>DataIn!C54</f>
        <v>0000713260033658</v>
      </c>
      <c r="D34" s="5" t="str">
        <f>DataIn!D54</f>
        <v>12/05/17</v>
      </c>
      <c r="E34" s="5">
        <f>DataIn!E54</f>
        <v>241.47</v>
      </c>
      <c r="F34" s="5">
        <f>DataIn!F54</f>
        <v>0</v>
      </c>
      <c r="G34" s="5">
        <f>DataIn!G54</f>
        <v>8933.2800000000007</v>
      </c>
      <c r="H34" s="6" t="b">
        <f>SUMPRODUCT(--ISNUMBER(SEARCH(CategoriesConfig!B$3:B$12,$B34)))&gt;0</f>
        <v>0</v>
      </c>
      <c r="I34" s="6" t="b">
        <f>SUMPRODUCT(--ISNUMBER(SEARCH(CategoriesConfig!C$3:C$12,$B34)))&gt;0</f>
        <v>1</v>
      </c>
      <c r="J34" s="6" t="b">
        <f>SUMPRODUCT(--ISNUMBER(SEARCH(CategoriesConfig!D$3:D$12,$B34)))&gt;0</f>
        <v>0</v>
      </c>
      <c r="K34" s="6" t="b">
        <f>SUMPRODUCT(--ISNUMBER(SEARCH(CategoriesConfig!E$3:E$12,$B34)))&gt;0</f>
        <v>0</v>
      </c>
      <c r="L34" s="6" t="b">
        <f>SUMPRODUCT(--ISNUMBER(SEARCH(CategoriesConfig!F$3:F$12,$B34)))&gt;0</f>
        <v>0</v>
      </c>
      <c r="M34" s="6" t="b">
        <f>SUMPRODUCT(--ISNUMBER(SEARCH(CategoriesConfig!G$3:G$12,$B34)))&gt;0</f>
        <v>0</v>
      </c>
      <c r="N34" s="6" t="b">
        <f>SUMPRODUCT(--ISNUMBER(SEARCH(CategoriesConfig!H$3:H$12,$B34)))&gt;0</f>
        <v>0</v>
      </c>
      <c r="O34" s="6" t="b">
        <f>SUMPRODUCT(--ISNUMBER(SEARCH(CategoriesConfig!I$3:I$12,$B34)))&gt;0</f>
        <v>0</v>
      </c>
      <c r="P34" s="22" t="b">
        <f t="shared" si="0"/>
        <v>0</v>
      </c>
      <c r="Q34" s="22">
        <f t="shared" si="2"/>
        <v>5</v>
      </c>
      <c r="S34" s="6" t="str">
        <f t="shared" si="1"/>
        <v>U</v>
      </c>
    </row>
    <row r="35" spans="1:19" ht="13.5" thickBot="1" x14ac:dyDescent="0.25">
      <c r="A35" s="4">
        <f>DATEVALUE(DataIn!A55)</f>
        <v>42867</v>
      </c>
      <c r="B35" s="5" t="str">
        <f>DataIn!B55</f>
        <v>POS 512967XXXXXX4422 ZES*UBER INDIA S POS DEBIT</v>
      </c>
      <c r="C35" s="5" t="str">
        <f>DataIn!C55</f>
        <v>0000713240236770</v>
      </c>
      <c r="D35" s="5" t="str">
        <f>DataIn!D55</f>
        <v>12/05/17</v>
      </c>
      <c r="E35" s="5">
        <f>DataIn!E55</f>
        <v>146.08000000000001</v>
      </c>
      <c r="F35" s="5">
        <f>DataIn!F55</f>
        <v>0</v>
      </c>
      <c r="G35" s="5">
        <f>DataIn!G55</f>
        <v>8787.2000000000007</v>
      </c>
      <c r="H35" s="6" t="b">
        <f>SUMPRODUCT(--ISNUMBER(SEARCH(CategoriesConfig!B$3:B$12,$B35)))&gt;0</f>
        <v>0</v>
      </c>
      <c r="I35" s="6" t="b">
        <f>SUMPRODUCT(--ISNUMBER(SEARCH(CategoriesConfig!C$3:C$12,$B35)))&gt;0</f>
        <v>1</v>
      </c>
      <c r="J35" s="6" t="b">
        <f>SUMPRODUCT(--ISNUMBER(SEARCH(CategoriesConfig!D$3:D$12,$B35)))&gt;0</f>
        <v>0</v>
      </c>
      <c r="K35" s="6" t="b">
        <f>SUMPRODUCT(--ISNUMBER(SEARCH(CategoriesConfig!E$3:E$12,$B35)))&gt;0</f>
        <v>0</v>
      </c>
      <c r="L35" s="6" t="b">
        <f>SUMPRODUCT(--ISNUMBER(SEARCH(CategoriesConfig!F$3:F$12,$B35)))&gt;0</f>
        <v>0</v>
      </c>
      <c r="M35" s="6" t="b">
        <f>SUMPRODUCT(--ISNUMBER(SEARCH(CategoriesConfig!G$3:G$12,$B35)))&gt;0</f>
        <v>0</v>
      </c>
      <c r="N35" s="6" t="b">
        <f>SUMPRODUCT(--ISNUMBER(SEARCH(CategoriesConfig!H$3:H$12,$B35)))&gt;0</f>
        <v>0</v>
      </c>
      <c r="O35" s="6" t="b">
        <f>SUMPRODUCT(--ISNUMBER(SEARCH(CategoriesConfig!I$3:I$12,$B35)))&gt;0</f>
        <v>0</v>
      </c>
      <c r="P35" s="22" t="b">
        <f t="shared" si="0"/>
        <v>0</v>
      </c>
      <c r="Q35" s="22">
        <f t="shared" si="2"/>
        <v>5</v>
      </c>
      <c r="S35" s="6" t="str">
        <f t="shared" si="1"/>
        <v>U</v>
      </c>
    </row>
    <row r="36" spans="1:19" ht="13.5" thickBot="1" x14ac:dyDescent="0.25">
      <c r="A36" s="4">
        <f>DATEVALUE(DataIn!A56)</f>
        <v>42868</v>
      </c>
      <c r="B36" s="5" t="str">
        <f>DataIn!B56</f>
        <v>POS 512967XXXXXX4422 ZES*UBER INDIA S POS DEBIT</v>
      </c>
      <c r="C36" s="5" t="str">
        <f>DataIn!C56</f>
        <v>0000713360230693</v>
      </c>
      <c r="D36" s="5" t="str">
        <f>DataIn!D56</f>
        <v>13/05/17</v>
      </c>
      <c r="E36" s="5">
        <f>DataIn!E56</f>
        <v>167.42</v>
      </c>
      <c r="F36" s="5">
        <f>DataIn!F56</f>
        <v>0</v>
      </c>
      <c r="G36" s="5">
        <f>DataIn!G56</f>
        <v>8619.7800000000007</v>
      </c>
      <c r="H36" s="6" t="b">
        <f>SUMPRODUCT(--ISNUMBER(SEARCH(CategoriesConfig!B$3:B$12,$B36)))&gt;0</f>
        <v>0</v>
      </c>
      <c r="I36" s="6" t="b">
        <f>SUMPRODUCT(--ISNUMBER(SEARCH(CategoriesConfig!C$3:C$12,$B36)))&gt;0</f>
        <v>1</v>
      </c>
      <c r="J36" s="6" t="b">
        <f>SUMPRODUCT(--ISNUMBER(SEARCH(CategoriesConfig!D$3:D$12,$B36)))&gt;0</f>
        <v>0</v>
      </c>
      <c r="K36" s="6" t="b">
        <f>SUMPRODUCT(--ISNUMBER(SEARCH(CategoriesConfig!E$3:E$12,$B36)))&gt;0</f>
        <v>0</v>
      </c>
      <c r="L36" s="6" t="b">
        <f>SUMPRODUCT(--ISNUMBER(SEARCH(CategoriesConfig!F$3:F$12,$B36)))&gt;0</f>
        <v>0</v>
      </c>
      <c r="M36" s="6" t="b">
        <f>SUMPRODUCT(--ISNUMBER(SEARCH(CategoriesConfig!G$3:G$12,$B36)))&gt;0</f>
        <v>0</v>
      </c>
      <c r="N36" s="6" t="b">
        <f>SUMPRODUCT(--ISNUMBER(SEARCH(CategoriesConfig!H$3:H$12,$B36)))&gt;0</f>
        <v>0</v>
      </c>
      <c r="O36" s="6" t="b">
        <f>SUMPRODUCT(--ISNUMBER(SEARCH(CategoriesConfig!I$3:I$12,$B36)))&gt;0</f>
        <v>0</v>
      </c>
      <c r="P36" s="22" t="b">
        <f t="shared" si="0"/>
        <v>0</v>
      </c>
      <c r="Q36" s="22">
        <f t="shared" si="2"/>
        <v>5</v>
      </c>
      <c r="S36" s="6" t="str">
        <f t="shared" si="1"/>
        <v>U</v>
      </c>
    </row>
    <row r="37" spans="1:19" ht="13.5" thickBot="1" x14ac:dyDescent="0.25">
      <c r="A37" s="4">
        <f>DATEVALUE(DataIn!A57)</f>
        <v>42868</v>
      </c>
      <c r="B37" s="5" t="str">
        <f>DataIn!B57</f>
        <v>POS 512967XXXXXX4422 THE BIERE CLUB POS DEBIT</v>
      </c>
      <c r="C37" s="5" t="str">
        <f>DataIn!C57</f>
        <v>0000000000053848</v>
      </c>
      <c r="D37" s="5" t="str">
        <f>DataIn!D57</f>
        <v>13/05/17</v>
      </c>
      <c r="E37" s="5">
        <f>DataIn!E57</f>
        <v>3415</v>
      </c>
      <c r="F37" s="5">
        <f>DataIn!F57</f>
        <v>0</v>
      </c>
      <c r="G37" s="5">
        <f>DataIn!G57</f>
        <v>5204.78</v>
      </c>
      <c r="H37" s="6" t="b">
        <f>SUMPRODUCT(--ISNUMBER(SEARCH(CategoriesConfig!B$3:B$12,$B37)))&gt;0</f>
        <v>0</v>
      </c>
      <c r="I37" s="6" t="b">
        <f>SUMPRODUCT(--ISNUMBER(SEARCH(CategoriesConfig!C$3:C$12,$B37)))&gt;0</f>
        <v>0</v>
      </c>
      <c r="J37" s="6" t="b">
        <f>SUMPRODUCT(--ISNUMBER(SEARCH(CategoriesConfig!D$3:D$12,$B37)))&gt;0</f>
        <v>0</v>
      </c>
      <c r="K37" s="6" t="b">
        <f>SUMPRODUCT(--ISNUMBER(SEARCH(CategoriesConfig!E$3:E$12,$B37)))&gt;0</f>
        <v>0</v>
      </c>
      <c r="L37" s="6" t="b">
        <f>SUMPRODUCT(--ISNUMBER(SEARCH(CategoriesConfig!F$3:F$12,$B37)))&gt;0</f>
        <v>1</v>
      </c>
      <c r="M37" s="6" t="b">
        <f>SUMPRODUCT(--ISNUMBER(SEARCH(CategoriesConfig!G$3:G$12,$B37)))&gt;0</f>
        <v>0</v>
      </c>
      <c r="N37" s="6" t="b">
        <f>SUMPRODUCT(--ISNUMBER(SEARCH(CategoriesConfig!H$3:H$12,$B37)))&gt;0</f>
        <v>0</v>
      </c>
      <c r="O37" s="6" t="b">
        <f>SUMPRODUCT(--ISNUMBER(SEARCH(CategoriesConfig!I$3:I$12,$B37)))&gt;0</f>
        <v>0</v>
      </c>
      <c r="P37" s="22" t="b">
        <f t="shared" si="0"/>
        <v>0</v>
      </c>
      <c r="Q37" s="22">
        <f t="shared" si="2"/>
        <v>5</v>
      </c>
      <c r="S37" s="6" t="str">
        <f t="shared" si="1"/>
        <v>F</v>
      </c>
    </row>
    <row r="38" spans="1:19" ht="13.5" thickBot="1" x14ac:dyDescent="0.25">
      <c r="A38" s="4">
        <f>DATEVALUE(DataIn!A58)</f>
        <v>42869</v>
      </c>
      <c r="B38" s="5" t="str">
        <f>DataIn!B58</f>
        <v>POS 512967XXXXXX4422 ZES*UBER INDIA S POS DEBIT</v>
      </c>
      <c r="C38" s="5" t="str">
        <f>DataIn!C58</f>
        <v>0000713440210281</v>
      </c>
      <c r="D38" s="5" t="str">
        <f>DataIn!D58</f>
        <v>14/05/17</v>
      </c>
      <c r="E38" s="5">
        <f>DataIn!E58</f>
        <v>126.42</v>
      </c>
      <c r="F38" s="5">
        <f>DataIn!F58</f>
        <v>0</v>
      </c>
      <c r="G38" s="5">
        <f>DataIn!G58</f>
        <v>5078.3599999999997</v>
      </c>
      <c r="H38" s="6" t="b">
        <f>SUMPRODUCT(--ISNUMBER(SEARCH(CategoriesConfig!B$3:B$12,$B38)))&gt;0</f>
        <v>0</v>
      </c>
      <c r="I38" s="6" t="b">
        <f>SUMPRODUCT(--ISNUMBER(SEARCH(CategoriesConfig!C$3:C$12,$B38)))&gt;0</f>
        <v>1</v>
      </c>
      <c r="J38" s="6" t="b">
        <f>SUMPRODUCT(--ISNUMBER(SEARCH(CategoriesConfig!D$3:D$12,$B38)))&gt;0</f>
        <v>0</v>
      </c>
      <c r="K38" s="6" t="b">
        <f>SUMPRODUCT(--ISNUMBER(SEARCH(CategoriesConfig!E$3:E$12,$B38)))&gt;0</f>
        <v>0</v>
      </c>
      <c r="L38" s="6" t="b">
        <f>SUMPRODUCT(--ISNUMBER(SEARCH(CategoriesConfig!F$3:F$12,$B38)))&gt;0</f>
        <v>0</v>
      </c>
      <c r="M38" s="6" t="b">
        <f>SUMPRODUCT(--ISNUMBER(SEARCH(CategoriesConfig!G$3:G$12,$B38)))&gt;0</f>
        <v>0</v>
      </c>
      <c r="N38" s="6" t="b">
        <f>SUMPRODUCT(--ISNUMBER(SEARCH(CategoriesConfig!H$3:H$12,$B38)))&gt;0</f>
        <v>0</v>
      </c>
      <c r="O38" s="6" t="b">
        <f>SUMPRODUCT(--ISNUMBER(SEARCH(CategoriesConfig!I$3:I$12,$B38)))&gt;0</f>
        <v>0</v>
      </c>
      <c r="P38" s="22" t="b">
        <f t="shared" si="0"/>
        <v>0</v>
      </c>
      <c r="Q38" s="22">
        <f t="shared" si="2"/>
        <v>5</v>
      </c>
      <c r="S38" s="6" t="str">
        <f t="shared" si="1"/>
        <v>U</v>
      </c>
    </row>
    <row r="39" spans="1:19" ht="13.5" thickBot="1" x14ac:dyDescent="0.25">
      <c r="A39" s="4">
        <f>DATEVALUE(DataIn!A59)</f>
        <v>42870</v>
      </c>
      <c r="B39" s="5" t="str">
        <f>DataIn!B59</f>
        <v>POS 512967XXXXXX4422 ZES*UBER INDIA S POS DEBIT</v>
      </c>
      <c r="C39" s="5" t="str">
        <f>DataIn!C59</f>
        <v>0000713540032297</v>
      </c>
      <c r="D39" s="5" t="str">
        <f>DataIn!D59</f>
        <v>15/05/17</v>
      </c>
      <c r="E39" s="5">
        <f>DataIn!E59</f>
        <v>178</v>
      </c>
      <c r="F39" s="5">
        <f>DataIn!F59</f>
        <v>0</v>
      </c>
      <c r="G39" s="5">
        <f>DataIn!G59</f>
        <v>4900.3599999999997</v>
      </c>
      <c r="H39" s="6" t="b">
        <f>SUMPRODUCT(--ISNUMBER(SEARCH(CategoriesConfig!B$3:B$12,$B39)))&gt;0</f>
        <v>0</v>
      </c>
      <c r="I39" s="6" t="b">
        <f>SUMPRODUCT(--ISNUMBER(SEARCH(CategoriesConfig!C$3:C$12,$B39)))&gt;0</f>
        <v>1</v>
      </c>
      <c r="J39" s="6" t="b">
        <f>SUMPRODUCT(--ISNUMBER(SEARCH(CategoriesConfig!D$3:D$12,$B39)))&gt;0</f>
        <v>0</v>
      </c>
      <c r="K39" s="6" t="b">
        <f>SUMPRODUCT(--ISNUMBER(SEARCH(CategoriesConfig!E$3:E$12,$B39)))&gt;0</f>
        <v>0</v>
      </c>
      <c r="L39" s="6" t="b">
        <f>SUMPRODUCT(--ISNUMBER(SEARCH(CategoriesConfig!F$3:F$12,$B39)))&gt;0</f>
        <v>0</v>
      </c>
      <c r="M39" s="6" t="b">
        <f>SUMPRODUCT(--ISNUMBER(SEARCH(CategoriesConfig!G$3:G$12,$B39)))&gt;0</f>
        <v>0</v>
      </c>
      <c r="N39" s="6" t="b">
        <f>SUMPRODUCT(--ISNUMBER(SEARCH(CategoriesConfig!H$3:H$12,$B39)))&gt;0</f>
        <v>0</v>
      </c>
      <c r="O39" s="6" t="b">
        <f>SUMPRODUCT(--ISNUMBER(SEARCH(CategoriesConfig!I$3:I$12,$B39)))&gt;0</f>
        <v>0</v>
      </c>
      <c r="P39" s="22" t="b">
        <f t="shared" si="0"/>
        <v>0</v>
      </c>
      <c r="Q39" s="22">
        <f t="shared" si="2"/>
        <v>5</v>
      </c>
      <c r="S39" s="6" t="str">
        <f t="shared" si="1"/>
        <v>U</v>
      </c>
    </row>
    <row r="40" spans="1:19" ht="13.5" thickBot="1" x14ac:dyDescent="0.25">
      <c r="A40" s="4">
        <f>DATEVALUE(DataIn!A60)</f>
        <v>42870</v>
      </c>
      <c r="B40" s="5" t="str">
        <f>DataIn!B60</f>
        <v>POS 512967XXXXXX4422 CELEBRATIONS, POS DEBIT</v>
      </c>
      <c r="C40" s="5" t="str">
        <f>DataIn!C60</f>
        <v>0000000000006267</v>
      </c>
      <c r="D40" s="5" t="str">
        <f>DataIn!D60</f>
        <v>15/05/17</v>
      </c>
      <c r="E40" s="5">
        <f>DataIn!E60</f>
        <v>50</v>
      </c>
      <c r="F40" s="5">
        <f>DataIn!F60</f>
        <v>0</v>
      </c>
      <c r="G40" s="5">
        <f>DataIn!G60</f>
        <v>4850.3599999999997</v>
      </c>
      <c r="H40" s="6" t="b">
        <f>SUMPRODUCT(--ISNUMBER(SEARCH(CategoriesConfig!B$3:B$12,$B40)))&gt;0</f>
        <v>0</v>
      </c>
      <c r="I40" s="6" t="b">
        <f>SUMPRODUCT(--ISNUMBER(SEARCH(CategoriesConfig!C$3:C$12,$B40)))&gt;0</f>
        <v>0</v>
      </c>
      <c r="J40" s="6" t="b">
        <f>SUMPRODUCT(--ISNUMBER(SEARCH(CategoriesConfig!D$3:D$12,$B40)))&gt;0</f>
        <v>1</v>
      </c>
      <c r="K40" s="6" t="b">
        <f>SUMPRODUCT(--ISNUMBER(SEARCH(CategoriesConfig!E$3:E$12,$B40)))&gt;0</f>
        <v>0</v>
      </c>
      <c r="L40" s="6" t="b">
        <f>SUMPRODUCT(--ISNUMBER(SEARCH(CategoriesConfig!F$3:F$12,$B40)))&gt;0</f>
        <v>0</v>
      </c>
      <c r="M40" s="6" t="b">
        <f>SUMPRODUCT(--ISNUMBER(SEARCH(CategoriesConfig!G$3:G$12,$B40)))&gt;0</f>
        <v>0</v>
      </c>
      <c r="N40" s="6" t="b">
        <f>SUMPRODUCT(--ISNUMBER(SEARCH(CategoriesConfig!H$3:H$12,$B40)))&gt;0</f>
        <v>0</v>
      </c>
      <c r="O40" s="6" t="b">
        <f>SUMPRODUCT(--ISNUMBER(SEARCH(CategoriesConfig!I$3:I$12,$B40)))&gt;0</f>
        <v>0</v>
      </c>
      <c r="P40" s="22" t="b">
        <f t="shared" si="0"/>
        <v>0</v>
      </c>
      <c r="Q40" s="22">
        <f t="shared" si="2"/>
        <v>5</v>
      </c>
      <c r="S40" s="6" t="str">
        <f t="shared" si="1"/>
        <v>L</v>
      </c>
    </row>
    <row r="41" spans="1:19" ht="13.5" thickBot="1" x14ac:dyDescent="0.25">
      <c r="A41" s="4">
        <f>DATEVALUE(DataIn!A61)</f>
        <v>42870</v>
      </c>
      <c r="B41" s="5" t="str">
        <f>DataIn!B61</f>
        <v>POS 512967XXXXXX4422 CELEBRATIONS, POS DEBIT</v>
      </c>
      <c r="C41" s="5" t="str">
        <f>DataIn!C61</f>
        <v>0000000000006454</v>
      </c>
      <c r="D41" s="5" t="str">
        <f>DataIn!D61</f>
        <v>15/05/17</v>
      </c>
      <c r="E41" s="5">
        <f>DataIn!E61</f>
        <v>75</v>
      </c>
      <c r="F41" s="5">
        <f>DataIn!F61</f>
        <v>0</v>
      </c>
      <c r="G41" s="5">
        <f>DataIn!G61</f>
        <v>4775.3599999999997</v>
      </c>
      <c r="H41" s="6" t="b">
        <f>SUMPRODUCT(--ISNUMBER(SEARCH(CategoriesConfig!B$3:B$12,$B41)))&gt;0</f>
        <v>0</v>
      </c>
      <c r="I41" s="6" t="b">
        <f>SUMPRODUCT(--ISNUMBER(SEARCH(CategoriesConfig!C$3:C$12,$B41)))&gt;0</f>
        <v>0</v>
      </c>
      <c r="J41" s="6" t="b">
        <f>SUMPRODUCT(--ISNUMBER(SEARCH(CategoriesConfig!D$3:D$12,$B41)))&gt;0</f>
        <v>1</v>
      </c>
      <c r="K41" s="6" t="b">
        <f>SUMPRODUCT(--ISNUMBER(SEARCH(CategoriesConfig!E$3:E$12,$B41)))&gt;0</f>
        <v>0</v>
      </c>
      <c r="L41" s="6" t="b">
        <f>SUMPRODUCT(--ISNUMBER(SEARCH(CategoriesConfig!F$3:F$12,$B41)))&gt;0</f>
        <v>0</v>
      </c>
      <c r="M41" s="6" t="b">
        <f>SUMPRODUCT(--ISNUMBER(SEARCH(CategoriesConfig!G$3:G$12,$B41)))&gt;0</f>
        <v>0</v>
      </c>
      <c r="N41" s="6" t="b">
        <f>SUMPRODUCT(--ISNUMBER(SEARCH(CategoriesConfig!H$3:H$12,$B41)))&gt;0</f>
        <v>0</v>
      </c>
      <c r="O41" s="6" t="b">
        <f>SUMPRODUCT(--ISNUMBER(SEARCH(CategoriesConfig!I$3:I$12,$B41)))&gt;0</f>
        <v>0</v>
      </c>
      <c r="P41" s="22" t="b">
        <f t="shared" si="0"/>
        <v>0</v>
      </c>
      <c r="Q41" s="22">
        <f t="shared" si="2"/>
        <v>5</v>
      </c>
      <c r="R41" s="2"/>
      <c r="S41" s="6" t="str">
        <f t="shared" si="1"/>
        <v>L</v>
      </c>
    </row>
    <row r="42" spans="1:19" ht="13.5" thickBot="1" x14ac:dyDescent="0.25">
      <c r="A42" s="4">
        <f>DATEVALUE(DataIn!A62)</f>
        <v>42870</v>
      </c>
      <c r="B42" s="5" t="str">
        <f>DataIn!B62</f>
        <v>NEFT CR-HSBC0400002-SALARY AND BULK PAYMENTS-LAWRENCE JAMES ROBSON COX-HSBCN17135353885</v>
      </c>
      <c r="C42" s="5" t="str">
        <f>DataIn!C62</f>
        <v>HSBCN17135353885</v>
      </c>
      <c r="D42" s="5" t="str">
        <f>DataIn!D62</f>
        <v>15/05/17</v>
      </c>
      <c r="E42" s="5">
        <f>DataIn!E62</f>
        <v>0</v>
      </c>
      <c r="F42" s="5">
        <f>DataIn!F62</f>
        <v>109413</v>
      </c>
      <c r="G42" s="5">
        <f>DataIn!G62</f>
        <v>114188.36</v>
      </c>
      <c r="H42" s="6" t="b">
        <f>SUMPRODUCT(--ISNUMBER(SEARCH(CategoriesConfig!B$3:B$12,$B42)))&gt;0</f>
        <v>1</v>
      </c>
      <c r="I42" s="6" t="b">
        <f>SUMPRODUCT(--ISNUMBER(SEARCH(CategoriesConfig!C$3:C$12,$B42)))&gt;0</f>
        <v>0</v>
      </c>
      <c r="J42" s="6" t="b">
        <f>SUMPRODUCT(--ISNUMBER(SEARCH(CategoriesConfig!D$3:D$12,$B42)))&gt;0</f>
        <v>0</v>
      </c>
      <c r="K42" s="6" t="b">
        <f>SUMPRODUCT(--ISNUMBER(SEARCH(CategoriesConfig!E$3:E$12,$B42)))&gt;0</f>
        <v>0</v>
      </c>
      <c r="L42" s="6" t="b">
        <f>SUMPRODUCT(--ISNUMBER(SEARCH(CategoriesConfig!F$3:F$12,$B42)))&gt;0</f>
        <v>0</v>
      </c>
      <c r="M42" s="6" t="b">
        <f>SUMPRODUCT(--ISNUMBER(SEARCH(CategoriesConfig!G$3:G$12,$B42)))&gt;0</f>
        <v>0</v>
      </c>
      <c r="N42" s="6" t="b">
        <f>SUMPRODUCT(--ISNUMBER(SEARCH(CategoriesConfig!H$3:H$12,$B42)))&gt;0</f>
        <v>0</v>
      </c>
      <c r="O42" s="6" t="b">
        <f>SUMPRODUCT(--ISNUMBER(SEARCH(CategoriesConfig!I$3:I$12,$B42)))&gt;0</f>
        <v>0</v>
      </c>
      <c r="P42" s="22" t="b">
        <f t="shared" si="0"/>
        <v>0</v>
      </c>
      <c r="Q42" s="22">
        <f t="shared" si="2"/>
        <v>5</v>
      </c>
      <c r="S42" s="6" t="str">
        <f t="shared" si="1"/>
        <v>I</v>
      </c>
    </row>
    <row r="43" spans="1:19" ht="13.5" thickBot="1" x14ac:dyDescent="0.25">
      <c r="A43" s="4">
        <f>DATEVALUE(DataIn!A63)</f>
        <v>42870</v>
      </c>
      <c r="B43" s="5" t="str">
        <f>DataIn!B63</f>
        <v>POS 512967XXXXXX4422 ZES*UBER INDIA S POS DEBIT</v>
      </c>
      <c r="C43" s="5" t="str">
        <f>DataIn!C63</f>
        <v>0000713540176210</v>
      </c>
      <c r="D43" s="5" t="str">
        <f>DataIn!D63</f>
        <v>15/05/17</v>
      </c>
      <c r="E43" s="5">
        <f>DataIn!E63</f>
        <v>302.8</v>
      </c>
      <c r="F43" s="5">
        <f>DataIn!F63</f>
        <v>0</v>
      </c>
      <c r="G43" s="5">
        <f>DataIn!G63</f>
        <v>113885.56</v>
      </c>
      <c r="H43" s="6" t="b">
        <f>SUMPRODUCT(--ISNUMBER(SEARCH(CategoriesConfig!B$3:B$12,$B43)))&gt;0</f>
        <v>0</v>
      </c>
      <c r="I43" s="6" t="b">
        <f>SUMPRODUCT(--ISNUMBER(SEARCH(CategoriesConfig!C$3:C$12,$B43)))&gt;0</f>
        <v>1</v>
      </c>
      <c r="J43" s="6" t="b">
        <f>SUMPRODUCT(--ISNUMBER(SEARCH(CategoriesConfig!D$3:D$12,$B43)))&gt;0</f>
        <v>0</v>
      </c>
      <c r="K43" s="6" t="b">
        <f>SUMPRODUCT(--ISNUMBER(SEARCH(CategoriesConfig!E$3:E$12,$B43)))&gt;0</f>
        <v>0</v>
      </c>
      <c r="L43" s="6" t="b">
        <f>SUMPRODUCT(--ISNUMBER(SEARCH(CategoriesConfig!F$3:F$12,$B43)))&gt;0</f>
        <v>0</v>
      </c>
      <c r="M43" s="6" t="b">
        <f>SUMPRODUCT(--ISNUMBER(SEARCH(CategoriesConfig!G$3:G$12,$B43)))&gt;0</f>
        <v>0</v>
      </c>
      <c r="N43" s="6" t="b">
        <f>SUMPRODUCT(--ISNUMBER(SEARCH(CategoriesConfig!H$3:H$12,$B43)))&gt;0</f>
        <v>0</v>
      </c>
      <c r="O43" s="6" t="b">
        <f>SUMPRODUCT(--ISNUMBER(SEARCH(CategoriesConfig!I$3:I$12,$B43)))&gt;0</f>
        <v>0</v>
      </c>
      <c r="P43" s="22" t="b">
        <f t="shared" si="0"/>
        <v>0</v>
      </c>
      <c r="Q43" s="22">
        <f t="shared" si="2"/>
        <v>5</v>
      </c>
      <c r="R43" s="2"/>
      <c r="S43" s="6" t="str">
        <f t="shared" si="1"/>
        <v>U</v>
      </c>
    </row>
    <row r="44" spans="1:19" ht="13.5" thickBot="1" x14ac:dyDescent="0.25">
      <c r="A44" s="4">
        <f>DATEVALUE(DataIn!A64)</f>
        <v>42871</v>
      </c>
      <c r="B44" s="5" t="str">
        <f>DataIn!B64</f>
        <v>50100179608510  -TPT-LOAN REPAY</v>
      </c>
      <c r="C44" s="5" t="str">
        <f>DataIn!C64</f>
        <v>00000244966030A1</v>
      </c>
      <c r="D44" s="5" t="str">
        <f>DataIn!D64</f>
        <v>16/05/17</v>
      </c>
      <c r="E44" s="5">
        <f>DataIn!E64</f>
        <v>0</v>
      </c>
      <c r="F44" s="5">
        <f>DataIn!F64</f>
        <v>5000</v>
      </c>
      <c r="G44" s="5">
        <f>DataIn!G64</f>
        <v>118885.56</v>
      </c>
      <c r="H44" s="6" t="b">
        <f>SUMPRODUCT(--ISNUMBER(SEARCH(CategoriesConfig!B$3:B$12,$B44)))&gt;0</f>
        <v>0</v>
      </c>
      <c r="I44" s="6" t="b">
        <f>SUMPRODUCT(--ISNUMBER(SEARCH(CategoriesConfig!C$3:C$12,$B44)))&gt;0</f>
        <v>0</v>
      </c>
      <c r="J44" s="6" t="b">
        <f>SUMPRODUCT(--ISNUMBER(SEARCH(CategoriesConfig!D$3:D$12,$B44)))&gt;0</f>
        <v>0</v>
      </c>
      <c r="K44" s="6" t="b">
        <f>SUMPRODUCT(--ISNUMBER(SEARCH(CategoriesConfig!E$3:E$12,$B44)))&gt;0</f>
        <v>0</v>
      </c>
      <c r="L44" s="6" t="b">
        <f>SUMPRODUCT(--ISNUMBER(SEARCH(CategoriesConfig!F$3:F$12,$B44)))&gt;0</f>
        <v>0</v>
      </c>
      <c r="M44" s="6" t="b">
        <f>SUMPRODUCT(--ISNUMBER(SEARCH(CategoriesConfig!G$3:G$12,$B44)))&gt;0</f>
        <v>0</v>
      </c>
      <c r="N44" s="6" t="b">
        <f>SUMPRODUCT(--ISNUMBER(SEARCH(CategoriesConfig!H$3:H$12,$B44)))&gt;0</f>
        <v>0</v>
      </c>
      <c r="O44" s="6" t="b">
        <f>SUMPRODUCT(--ISNUMBER(SEARCH(CategoriesConfig!I$3:I$12,$B44)))&gt;0</f>
        <v>0</v>
      </c>
      <c r="P44" s="22" t="b">
        <f t="shared" si="0"/>
        <v>1</v>
      </c>
      <c r="Q44" s="22">
        <f t="shared" si="2"/>
        <v>5</v>
      </c>
      <c r="R44" s="2" t="s">
        <v>225</v>
      </c>
      <c r="S44" s="6" t="str">
        <f t="shared" si="1"/>
        <v>I</v>
      </c>
    </row>
    <row r="45" spans="1:19" ht="13.5" thickBot="1" x14ac:dyDescent="0.25">
      <c r="A45" s="4">
        <f>DATEVALUE(DataIn!A65)</f>
        <v>42871</v>
      </c>
      <c r="B45" s="5" t="str">
        <f>DataIn!B65</f>
        <v>POS 512967XXXXXX4422 ZES*UBER INDIA S POS DEBIT</v>
      </c>
      <c r="C45" s="5" t="str">
        <f>DataIn!C65</f>
        <v>0000713640194476</v>
      </c>
      <c r="D45" s="5" t="str">
        <f>DataIn!D65</f>
        <v>16/05/17</v>
      </c>
      <c r="E45" s="5">
        <f>DataIn!E65</f>
        <v>114.46</v>
      </c>
      <c r="F45" s="5">
        <f>DataIn!F65</f>
        <v>0</v>
      </c>
      <c r="G45" s="5">
        <f>DataIn!G65</f>
        <v>118771.1</v>
      </c>
      <c r="H45" s="6" t="b">
        <f>SUMPRODUCT(--ISNUMBER(SEARCH(CategoriesConfig!B$3:B$12,$B45)))&gt;0</f>
        <v>0</v>
      </c>
      <c r="I45" s="6" t="b">
        <f>SUMPRODUCT(--ISNUMBER(SEARCH(CategoriesConfig!C$3:C$12,$B45)))&gt;0</f>
        <v>1</v>
      </c>
      <c r="J45" s="6" t="b">
        <f>SUMPRODUCT(--ISNUMBER(SEARCH(CategoriesConfig!D$3:D$12,$B45)))&gt;0</f>
        <v>0</v>
      </c>
      <c r="K45" s="6" t="b">
        <f>SUMPRODUCT(--ISNUMBER(SEARCH(CategoriesConfig!E$3:E$12,$B45)))&gt;0</f>
        <v>0</v>
      </c>
      <c r="L45" s="6" t="b">
        <f>SUMPRODUCT(--ISNUMBER(SEARCH(CategoriesConfig!F$3:F$12,$B45)))&gt;0</f>
        <v>0</v>
      </c>
      <c r="M45" s="6" t="b">
        <f>SUMPRODUCT(--ISNUMBER(SEARCH(CategoriesConfig!G$3:G$12,$B45)))&gt;0</f>
        <v>0</v>
      </c>
      <c r="N45" s="6" t="b">
        <f>SUMPRODUCT(--ISNUMBER(SEARCH(CategoriesConfig!H$3:H$12,$B45)))&gt;0</f>
        <v>0</v>
      </c>
      <c r="O45" s="6" t="b">
        <f>SUMPRODUCT(--ISNUMBER(SEARCH(CategoriesConfig!I$3:I$12,$B45)))&gt;0</f>
        <v>0</v>
      </c>
      <c r="P45" s="22" t="b">
        <f t="shared" si="0"/>
        <v>0</v>
      </c>
      <c r="Q45" s="22">
        <f t="shared" si="2"/>
        <v>5</v>
      </c>
      <c r="S45" s="6" t="str">
        <f t="shared" si="1"/>
        <v>U</v>
      </c>
    </row>
    <row r="46" spans="1:19" ht="13.5" thickBot="1" x14ac:dyDescent="0.25">
      <c r="A46" s="4">
        <f>DATEVALUE(DataIn!A66)</f>
        <v>42871</v>
      </c>
      <c r="B46" s="5" t="str">
        <f>DataIn!B66</f>
        <v>NWD-512967XXXXXX4422-A0414001-BANGALORE I</v>
      </c>
      <c r="C46" s="5" t="str">
        <f>DataIn!C66</f>
        <v>0000713623976801</v>
      </c>
      <c r="D46" s="5" t="str">
        <f>DataIn!D66</f>
        <v>16/05/17</v>
      </c>
      <c r="E46" s="5">
        <f>DataIn!E66</f>
        <v>10000</v>
      </c>
      <c r="F46" s="5">
        <f>DataIn!F66</f>
        <v>0</v>
      </c>
      <c r="G46" s="5">
        <f>DataIn!G66</f>
        <v>108771.1</v>
      </c>
      <c r="H46" s="6" t="b">
        <f>SUMPRODUCT(--ISNUMBER(SEARCH(CategoriesConfig!B$3:B$12,$B46)))&gt;0</f>
        <v>0</v>
      </c>
      <c r="I46" s="6" t="b">
        <f>SUMPRODUCT(--ISNUMBER(SEARCH(CategoriesConfig!C$3:C$12,$B46)))&gt;0</f>
        <v>0</v>
      </c>
      <c r="J46" s="6" t="b">
        <f>SUMPRODUCT(--ISNUMBER(SEARCH(CategoriesConfig!D$3:D$12,$B46)))&gt;0</f>
        <v>0</v>
      </c>
      <c r="K46" s="6" t="b">
        <f>SUMPRODUCT(--ISNUMBER(SEARCH(CategoriesConfig!E$3:E$12,$B46)))&gt;0</f>
        <v>0</v>
      </c>
      <c r="L46" s="6" t="b">
        <f>SUMPRODUCT(--ISNUMBER(SEARCH(CategoriesConfig!F$3:F$12,$B46)))&gt;0</f>
        <v>0</v>
      </c>
      <c r="M46" s="6" t="b">
        <f>SUMPRODUCT(--ISNUMBER(SEARCH(CategoriesConfig!G$3:G$12,$B46)))&gt;0</f>
        <v>0</v>
      </c>
      <c r="N46" s="6" t="b">
        <f>SUMPRODUCT(--ISNUMBER(SEARCH(CategoriesConfig!H$3:H$12,$B46)))&gt;0</f>
        <v>1</v>
      </c>
      <c r="O46" s="6" t="b">
        <f>SUMPRODUCT(--ISNUMBER(SEARCH(CategoriesConfig!I$3:I$12,$B46)))&gt;0</f>
        <v>0</v>
      </c>
      <c r="P46" s="22" t="b">
        <f t="shared" si="0"/>
        <v>0</v>
      </c>
      <c r="Q46" s="22">
        <f t="shared" si="2"/>
        <v>5</v>
      </c>
      <c r="S46" s="6" t="str">
        <f t="shared" si="1"/>
        <v>C</v>
      </c>
    </row>
    <row r="47" spans="1:19" ht="13.5" thickBot="1" x14ac:dyDescent="0.25">
      <c r="A47" s="4">
        <f>DATEVALUE(DataIn!A67)</f>
        <v>42872</v>
      </c>
      <c r="B47" s="5" t="str">
        <f>DataIn!B67</f>
        <v>POS 512967XXXXXX4422 ZES*UBER INDIA S POS DEBIT</v>
      </c>
      <c r="C47" s="5" t="str">
        <f>DataIn!C67</f>
        <v>0000713700018389</v>
      </c>
      <c r="D47" s="5" t="str">
        <f>DataIn!D67</f>
        <v>17/05/17</v>
      </c>
      <c r="E47" s="5">
        <f>DataIn!E67</f>
        <v>190.39</v>
      </c>
      <c r="F47" s="5">
        <f>DataIn!F67</f>
        <v>0</v>
      </c>
      <c r="G47" s="5">
        <f>DataIn!G67</f>
        <v>108580.71</v>
      </c>
      <c r="H47" s="6" t="b">
        <f>SUMPRODUCT(--ISNUMBER(SEARCH(CategoriesConfig!B$3:B$12,$B47)))&gt;0</f>
        <v>0</v>
      </c>
      <c r="I47" s="6" t="b">
        <f>SUMPRODUCT(--ISNUMBER(SEARCH(CategoriesConfig!C$3:C$12,$B47)))&gt;0</f>
        <v>1</v>
      </c>
      <c r="J47" s="6" t="b">
        <f>SUMPRODUCT(--ISNUMBER(SEARCH(CategoriesConfig!D$3:D$12,$B47)))&gt;0</f>
        <v>0</v>
      </c>
      <c r="K47" s="6" t="b">
        <f>SUMPRODUCT(--ISNUMBER(SEARCH(CategoriesConfig!E$3:E$12,$B47)))&gt;0</f>
        <v>0</v>
      </c>
      <c r="L47" s="6" t="b">
        <f>SUMPRODUCT(--ISNUMBER(SEARCH(CategoriesConfig!F$3:F$12,$B47)))&gt;0</f>
        <v>0</v>
      </c>
      <c r="M47" s="6" t="b">
        <f>SUMPRODUCT(--ISNUMBER(SEARCH(CategoriesConfig!G$3:G$12,$B47)))&gt;0</f>
        <v>0</v>
      </c>
      <c r="N47" s="6" t="b">
        <f>SUMPRODUCT(--ISNUMBER(SEARCH(CategoriesConfig!H$3:H$12,$B47)))&gt;0</f>
        <v>0</v>
      </c>
      <c r="O47" s="6" t="b">
        <f>SUMPRODUCT(--ISNUMBER(SEARCH(CategoriesConfig!I$3:I$12,$B47)))&gt;0</f>
        <v>0</v>
      </c>
      <c r="P47" s="22" t="b">
        <f t="shared" si="0"/>
        <v>0</v>
      </c>
      <c r="Q47" s="22">
        <f t="shared" si="2"/>
        <v>5</v>
      </c>
      <c r="S47" s="6" t="str">
        <f t="shared" si="1"/>
        <v>U</v>
      </c>
    </row>
    <row r="48" spans="1:19" ht="13.5" thickBot="1" x14ac:dyDescent="0.25">
      <c r="A48" s="4">
        <f>DATEVALUE(DataIn!A68)</f>
        <v>42872</v>
      </c>
      <c r="B48" s="5" t="str">
        <f>DataIn!B68</f>
        <v>POS 512967XXXXXX4422 CELEBRATIONS, POS DEBIT</v>
      </c>
      <c r="C48" s="5" t="str">
        <f>DataIn!C68</f>
        <v>0000000000007188</v>
      </c>
      <c r="D48" s="5" t="str">
        <f>DataIn!D68</f>
        <v>17/05/17</v>
      </c>
      <c r="E48" s="5">
        <f>DataIn!E68</f>
        <v>75</v>
      </c>
      <c r="F48" s="5">
        <f>DataIn!F68</f>
        <v>0</v>
      </c>
      <c r="G48" s="5">
        <f>DataIn!G68</f>
        <v>108505.71</v>
      </c>
      <c r="H48" s="6" t="b">
        <f>SUMPRODUCT(--ISNUMBER(SEARCH(CategoriesConfig!B$3:B$12,$B48)))&gt;0</f>
        <v>0</v>
      </c>
      <c r="I48" s="6" t="b">
        <f>SUMPRODUCT(--ISNUMBER(SEARCH(CategoriesConfig!C$3:C$12,$B48)))&gt;0</f>
        <v>0</v>
      </c>
      <c r="J48" s="6" t="b">
        <f>SUMPRODUCT(--ISNUMBER(SEARCH(CategoriesConfig!D$3:D$12,$B48)))&gt;0</f>
        <v>1</v>
      </c>
      <c r="K48" s="6" t="b">
        <f>SUMPRODUCT(--ISNUMBER(SEARCH(CategoriesConfig!E$3:E$12,$B48)))&gt;0</f>
        <v>0</v>
      </c>
      <c r="L48" s="6" t="b">
        <f>SUMPRODUCT(--ISNUMBER(SEARCH(CategoriesConfig!F$3:F$12,$B48)))&gt;0</f>
        <v>0</v>
      </c>
      <c r="M48" s="6" t="b">
        <f>SUMPRODUCT(--ISNUMBER(SEARCH(CategoriesConfig!G$3:G$12,$B48)))&gt;0</f>
        <v>0</v>
      </c>
      <c r="N48" s="6" t="b">
        <f>SUMPRODUCT(--ISNUMBER(SEARCH(CategoriesConfig!H$3:H$12,$B48)))&gt;0</f>
        <v>0</v>
      </c>
      <c r="O48" s="6" t="b">
        <f>SUMPRODUCT(--ISNUMBER(SEARCH(CategoriesConfig!I$3:I$12,$B48)))&gt;0</f>
        <v>0</v>
      </c>
      <c r="P48" s="22" t="b">
        <f t="shared" si="0"/>
        <v>0</v>
      </c>
      <c r="Q48" s="22">
        <f t="shared" si="2"/>
        <v>5</v>
      </c>
      <c r="S48" s="6" t="str">
        <f t="shared" si="1"/>
        <v>L</v>
      </c>
    </row>
    <row r="49" spans="1:19" ht="13.5" thickBot="1" x14ac:dyDescent="0.25">
      <c r="A49" s="4">
        <f>DATEVALUE(DataIn!A69)</f>
        <v>42872</v>
      </c>
      <c r="B49" s="5" t="str">
        <f>DataIn!B69</f>
        <v>POS 512967XXXXXX4422 ARBOR BREWPUB POS DEBIT</v>
      </c>
      <c r="C49" s="5" t="str">
        <f>DataIn!C69</f>
        <v>0000000000014541</v>
      </c>
      <c r="D49" s="5" t="str">
        <f>DataIn!D69</f>
        <v>17/05/17</v>
      </c>
      <c r="E49" s="5">
        <f>DataIn!E69</f>
        <v>1113</v>
      </c>
      <c r="F49" s="5">
        <f>DataIn!F69</f>
        <v>0</v>
      </c>
      <c r="G49" s="5">
        <f>DataIn!G69</f>
        <v>107392.71</v>
      </c>
      <c r="H49" s="6" t="b">
        <f>SUMPRODUCT(--ISNUMBER(SEARCH(CategoriesConfig!B$3:B$12,$B49)))&gt;0</f>
        <v>0</v>
      </c>
      <c r="I49" s="6" t="b">
        <f>SUMPRODUCT(--ISNUMBER(SEARCH(CategoriesConfig!C$3:C$12,$B49)))&gt;0</f>
        <v>0</v>
      </c>
      <c r="J49" s="6" t="b">
        <f>SUMPRODUCT(--ISNUMBER(SEARCH(CategoriesConfig!D$3:D$12,$B49)))&gt;0</f>
        <v>0</v>
      </c>
      <c r="K49" s="6" t="b">
        <f>SUMPRODUCT(--ISNUMBER(SEARCH(CategoriesConfig!E$3:E$12,$B49)))&gt;0</f>
        <v>0</v>
      </c>
      <c r="L49" s="6" t="b">
        <f>SUMPRODUCT(--ISNUMBER(SEARCH(CategoriesConfig!F$3:F$12,$B49)))&gt;0</f>
        <v>1</v>
      </c>
      <c r="M49" s="6" t="b">
        <f>SUMPRODUCT(--ISNUMBER(SEARCH(CategoriesConfig!G$3:G$12,$B49)))&gt;0</f>
        <v>0</v>
      </c>
      <c r="N49" s="6" t="b">
        <f>SUMPRODUCT(--ISNUMBER(SEARCH(CategoriesConfig!H$3:H$12,$B49)))&gt;0</f>
        <v>0</v>
      </c>
      <c r="O49" s="6" t="b">
        <f>SUMPRODUCT(--ISNUMBER(SEARCH(CategoriesConfig!I$3:I$12,$B49)))&gt;0</f>
        <v>0</v>
      </c>
      <c r="P49" s="22" t="b">
        <f t="shared" si="0"/>
        <v>0</v>
      </c>
      <c r="Q49" s="22">
        <f t="shared" si="2"/>
        <v>5</v>
      </c>
      <c r="S49" s="6" t="str">
        <f t="shared" si="1"/>
        <v>F</v>
      </c>
    </row>
    <row r="50" spans="1:19" ht="13.5" thickBot="1" x14ac:dyDescent="0.25">
      <c r="A50" s="4">
        <f>DATEVALUE(DataIn!A70)</f>
        <v>42873</v>
      </c>
      <c r="B50" s="5" t="str">
        <f>DataIn!B70</f>
        <v>POS 512967XXXXXX4422 ZES*UBER INDIA S POS DEBIT</v>
      </c>
      <c r="C50" s="5" t="str">
        <f>DataIn!C70</f>
        <v>0000713800022375</v>
      </c>
      <c r="D50" s="5" t="str">
        <f>DataIn!D70</f>
        <v>18/05/17</v>
      </c>
      <c r="E50" s="5">
        <f>DataIn!E70</f>
        <v>98.01</v>
      </c>
      <c r="F50" s="5">
        <f>DataIn!F70</f>
        <v>0</v>
      </c>
      <c r="G50" s="5">
        <f>DataIn!G70</f>
        <v>107294.7</v>
      </c>
      <c r="H50" s="6" t="b">
        <f>SUMPRODUCT(--ISNUMBER(SEARCH(CategoriesConfig!B$3:B$12,$B50)))&gt;0</f>
        <v>0</v>
      </c>
      <c r="I50" s="6" t="b">
        <f>SUMPRODUCT(--ISNUMBER(SEARCH(CategoriesConfig!C$3:C$12,$B50)))&gt;0</f>
        <v>1</v>
      </c>
      <c r="J50" s="6" t="b">
        <f>SUMPRODUCT(--ISNUMBER(SEARCH(CategoriesConfig!D$3:D$12,$B50)))&gt;0</f>
        <v>0</v>
      </c>
      <c r="K50" s="6" t="b">
        <f>SUMPRODUCT(--ISNUMBER(SEARCH(CategoriesConfig!E$3:E$12,$B50)))&gt;0</f>
        <v>0</v>
      </c>
      <c r="L50" s="6" t="b">
        <f>SUMPRODUCT(--ISNUMBER(SEARCH(CategoriesConfig!F$3:F$12,$B50)))&gt;0</f>
        <v>0</v>
      </c>
      <c r="M50" s="6" t="b">
        <f>SUMPRODUCT(--ISNUMBER(SEARCH(CategoriesConfig!G$3:G$12,$B50)))&gt;0</f>
        <v>0</v>
      </c>
      <c r="N50" s="6" t="b">
        <f>SUMPRODUCT(--ISNUMBER(SEARCH(CategoriesConfig!H$3:H$12,$B50)))&gt;0</f>
        <v>0</v>
      </c>
      <c r="O50" s="6" t="b">
        <f>SUMPRODUCT(--ISNUMBER(SEARCH(CategoriesConfig!I$3:I$12,$B50)))&gt;0</f>
        <v>0</v>
      </c>
      <c r="P50" s="22" t="b">
        <f t="shared" si="0"/>
        <v>0</v>
      </c>
      <c r="Q50" s="22">
        <f t="shared" si="2"/>
        <v>5</v>
      </c>
      <c r="R50" s="2"/>
      <c r="S50" s="6" t="str">
        <f t="shared" si="1"/>
        <v>U</v>
      </c>
    </row>
    <row r="51" spans="1:19" ht="13.5" thickBot="1" x14ac:dyDescent="0.25">
      <c r="A51" s="4">
        <f>DATEVALUE(DataIn!A71)</f>
        <v>42873</v>
      </c>
      <c r="B51" s="5" t="str">
        <f>DataIn!B71</f>
        <v>POS 512967XXXXXX4422 MC DONALDS. POS DEBIT</v>
      </c>
      <c r="C51" s="5" t="str">
        <f>DataIn!C71</f>
        <v>0000000000038293</v>
      </c>
      <c r="D51" s="5" t="str">
        <f>DataIn!D71</f>
        <v>18/05/17</v>
      </c>
      <c r="E51" s="5">
        <f>DataIn!E71</f>
        <v>427.12</v>
      </c>
      <c r="F51" s="5">
        <f>DataIn!F71</f>
        <v>0</v>
      </c>
      <c r="G51" s="5">
        <f>DataIn!G71</f>
        <v>106867.58</v>
      </c>
      <c r="H51" s="6" t="b">
        <f>SUMPRODUCT(--ISNUMBER(SEARCH(CategoriesConfig!B$3:B$12,$B51)))&gt;0</f>
        <v>0</v>
      </c>
      <c r="I51" s="6" t="b">
        <f>SUMPRODUCT(--ISNUMBER(SEARCH(CategoriesConfig!C$3:C$12,$B51)))&gt;0</f>
        <v>0</v>
      </c>
      <c r="J51" s="6" t="b">
        <f>SUMPRODUCT(--ISNUMBER(SEARCH(CategoriesConfig!D$3:D$12,$B51)))&gt;0</f>
        <v>0</v>
      </c>
      <c r="K51" s="6" t="b">
        <f>SUMPRODUCT(--ISNUMBER(SEARCH(CategoriesConfig!E$3:E$12,$B51)))&gt;0</f>
        <v>0</v>
      </c>
      <c r="L51" s="6" t="b">
        <f>SUMPRODUCT(--ISNUMBER(SEARCH(CategoriesConfig!F$3:F$12,$B51)))&gt;0</f>
        <v>1</v>
      </c>
      <c r="M51" s="6" t="b">
        <f>SUMPRODUCT(--ISNUMBER(SEARCH(CategoriesConfig!G$3:G$12,$B51)))&gt;0</f>
        <v>0</v>
      </c>
      <c r="N51" s="6" t="b">
        <f>SUMPRODUCT(--ISNUMBER(SEARCH(CategoriesConfig!H$3:H$12,$B51)))&gt;0</f>
        <v>0</v>
      </c>
      <c r="O51" s="6" t="b">
        <f>SUMPRODUCT(--ISNUMBER(SEARCH(CategoriesConfig!I$3:I$12,$B51)))&gt;0</f>
        <v>0</v>
      </c>
      <c r="P51" s="22" t="b">
        <f t="shared" si="0"/>
        <v>0</v>
      </c>
      <c r="Q51" s="22">
        <f t="shared" si="2"/>
        <v>5</v>
      </c>
      <c r="S51" s="6" t="str">
        <f t="shared" si="1"/>
        <v>F</v>
      </c>
    </row>
    <row r="52" spans="1:19" ht="13.5" thickBot="1" x14ac:dyDescent="0.25">
      <c r="A52" s="4">
        <f>DATEVALUE(DataIn!A72)</f>
        <v>42873</v>
      </c>
      <c r="B52" s="5" t="str">
        <f>DataIn!B72</f>
        <v>POS 512967XXXXXX4422 PAYU-WWW.SWIGGY. POS DEBIT</v>
      </c>
      <c r="C52" s="5" t="str">
        <f>DataIn!C72</f>
        <v>0000020017784091</v>
      </c>
      <c r="D52" s="5" t="str">
        <f>DataIn!D72</f>
        <v>18/05/17</v>
      </c>
      <c r="E52" s="5">
        <f>DataIn!E72</f>
        <v>285</v>
      </c>
      <c r="F52" s="5">
        <f>DataIn!F72</f>
        <v>0</v>
      </c>
      <c r="G52" s="5">
        <f>DataIn!G72</f>
        <v>106582.58</v>
      </c>
      <c r="H52" s="6" t="b">
        <f>SUMPRODUCT(--ISNUMBER(SEARCH(CategoriesConfig!B$3:B$12,$B52)))&gt;0</f>
        <v>0</v>
      </c>
      <c r="I52" s="6" t="b">
        <f>SUMPRODUCT(--ISNUMBER(SEARCH(CategoriesConfig!C$3:C$12,$B52)))&gt;0</f>
        <v>0</v>
      </c>
      <c r="J52" s="6" t="b">
        <f>SUMPRODUCT(--ISNUMBER(SEARCH(CategoriesConfig!D$3:D$12,$B52)))&gt;0</f>
        <v>0</v>
      </c>
      <c r="K52" s="6" t="b">
        <f>SUMPRODUCT(--ISNUMBER(SEARCH(CategoriesConfig!E$3:E$12,$B52)))&gt;0</f>
        <v>0</v>
      </c>
      <c r="L52" s="6" t="b">
        <f>SUMPRODUCT(--ISNUMBER(SEARCH(CategoriesConfig!F$3:F$12,$B52)))&gt;0</f>
        <v>1</v>
      </c>
      <c r="M52" s="6" t="b">
        <f>SUMPRODUCT(--ISNUMBER(SEARCH(CategoriesConfig!G$3:G$12,$B52)))&gt;0</f>
        <v>0</v>
      </c>
      <c r="N52" s="6" t="b">
        <f>SUMPRODUCT(--ISNUMBER(SEARCH(CategoriesConfig!H$3:H$12,$B52)))&gt;0</f>
        <v>0</v>
      </c>
      <c r="O52" s="6" t="b">
        <f>SUMPRODUCT(--ISNUMBER(SEARCH(CategoriesConfig!I$3:I$12,$B52)))&gt;0</f>
        <v>0</v>
      </c>
      <c r="P52" s="22" t="b">
        <f t="shared" si="0"/>
        <v>0</v>
      </c>
      <c r="Q52" s="22">
        <f t="shared" si="2"/>
        <v>5</v>
      </c>
      <c r="S52" s="6" t="str">
        <f t="shared" si="1"/>
        <v>F</v>
      </c>
    </row>
    <row r="53" spans="1:19" ht="13.5" thickBot="1" x14ac:dyDescent="0.25">
      <c r="A53" s="4">
        <f>DATEVALUE(DataIn!A73)</f>
        <v>42874</v>
      </c>
      <c r="B53" s="5" t="str">
        <f>DataIn!B73</f>
        <v>POS 512967XXXXXX4422 CELEBRATIONS, POS DEBIT</v>
      </c>
      <c r="C53" s="5" t="str">
        <f>DataIn!C73</f>
        <v>0000000000007800</v>
      </c>
      <c r="D53" s="5" t="str">
        <f>DataIn!D73</f>
        <v>19/05/17</v>
      </c>
      <c r="E53" s="5">
        <f>DataIn!E73</f>
        <v>75</v>
      </c>
      <c r="F53" s="5">
        <f>DataIn!F73</f>
        <v>0</v>
      </c>
      <c r="G53" s="5">
        <f>DataIn!G73</f>
        <v>106507.58</v>
      </c>
      <c r="H53" s="6" t="b">
        <f>SUMPRODUCT(--ISNUMBER(SEARCH(CategoriesConfig!B$3:B$12,$B53)))&gt;0</f>
        <v>0</v>
      </c>
      <c r="I53" s="6" t="b">
        <f>SUMPRODUCT(--ISNUMBER(SEARCH(CategoriesConfig!C$3:C$12,$B53)))&gt;0</f>
        <v>0</v>
      </c>
      <c r="J53" s="6" t="b">
        <f>SUMPRODUCT(--ISNUMBER(SEARCH(CategoriesConfig!D$3:D$12,$B53)))&gt;0</f>
        <v>1</v>
      </c>
      <c r="K53" s="6" t="b">
        <f>SUMPRODUCT(--ISNUMBER(SEARCH(CategoriesConfig!E$3:E$12,$B53)))&gt;0</f>
        <v>0</v>
      </c>
      <c r="L53" s="6" t="b">
        <f>SUMPRODUCT(--ISNUMBER(SEARCH(CategoriesConfig!F$3:F$12,$B53)))&gt;0</f>
        <v>0</v>
      </c>
      <c r="M53" s="6" t="b">
        <f>SUMPRODUCT(--ISNUMBER(SEARCH(CategoriesConfig!G$3:G$12,$B53)))&gt;0</f>
        <v>0</v>
      </c>
      <c r="N53" s="6" t="b">
        <f>SUMPRODUCT(--ISNUMBER(SEARCH(CategoriesConfig!H$3:H$12,$B53)))&gt;0</f>
        <v>0</v>
      </c>
      <c r="O53" s="6" t="b">
        <f>SUMPRODUCT(--ISNUMBER(SEARCH(CategoriesConfig!I$3:I$12,$B53)))&gt;0</f>
        <v>0</v>
      </c>
      <c r="P53" s="22" t="b">
        <f t="shared" si="0"/>
        <v>0</v>
      </c>
      <c r="Q53" s="22">
        <f t="shared" si="2"/>
        <v>5</v>
      </c>
      <c r="R53" s="2"/>
      <c r="S53" s="6" t="str">
        <f t="shared" si="1"/>
        <v>L</v>
      </c>
    </row>
    <row r="54" spans="1:19" ht="13.5" thickBot="1" x14ac:dyDescent="0.25">
      <c r="A54" s="4">
        <f>DATEVALUE(DataIn!A74)</f>
        <v>42874</v>
      </c>
      <c r="B54" s="5" t="str">
        <f>DataIn!B74</f>
        <v>POS 512967XXXXXX4422 ZES*UBER INDIA S POS DEBIT</v>
      </c>
      <c r="C54" s="5" t="str">
        <f>DataIn!C74</f>
        <v>0000713900098395</v>
      </c>
      <c r="D54" s="5" t="str">
        <f>DataIn!D74</f>
        <v>19/05/17</v>
      </c>
      <c r="E54" s="5">
        <f>DataIn!E74</f>
        <v>138.08000000000001</v>
      </c>
      <c r="F54" s="5">
        <f>DataIn!F74</f>
        <v>0</v>
      </c>
      <c r="G54" s="5">
        <f>DataIn!G74</f>
        <v>106369.5</v>
      </c>
      <c r="H54" s="6" t="b">
        <f>SUMPRODUCT(--ISNUMBER(SEARCH(CategoriesConfig!B$3:B$12,$B54)))&gt;0</f>
        <v>0</v>
      </c>
      <c r="I54" s="6" t="b">
        <f>SUMPRODUCT(--ISNUMBER(SEARCH(CategoriesConfig!C$3:C$12,$B54)))&gt;0</f>
        <v>1</v>
      </c>
      <c r="J54" s="6" t="b">
        <f>SUMPRODUCT(--ISNUMBER(SEARCH(CategoriesConfig!D$3:D$12,$B54)))&gt;0</f>
        <v>0</v>
      </c>
      <c r="K54" s="6" t="b">
        <f>SUMPRODUCT(--ISNUMBER(SEARCH(CategoriesConfig!E$3:E$12,$B54)))&gt;0</f>
        <v>0</v>
      </c>
      <c r="L54" s="6" t="b">
        <f>SUMPRODUCT(--ISNUMBER(SEARCH(CategoriesConfig!F$3:F$12,$B54)))&gt;0</f>
        <v>0</v>
      </c>
      <c r="M54" s="6" t="b">
        <f>SUMPRODUCT(--ISNUMBER(SEARCH(CategoriesConfig!G$3:G$12,$B54)))&gt;0</f>
        <v>0</v>
      </c>
      <c r="N54" s="6" t="b">
        <f>SUMPRODUCT(--ISNUMBER(SEARCH(CategoriesConfig!H$3:H$12,$B54)))&gt;0</f>
        <v>0</v>
      </c>
      <c r="O54" s="6" t="b">
        <f>SUMPRODUCT(--ISNUMBER(SEARCH(CategoriesConfig!I$3:I$12,$B54)))&gt;0</f>
        <v>0</v>
      </c>
      <c r="P54" s="22" t="b">
        <f t="shared" si="0"/>
        <v>0</v>
      </c>
      <c r="Q54" s="22">
        <f t="shared" si="2"/>
        <v>5</v>
      </c>
      <c r="S54" s="6" t="str">
        <f t="shared" si="1"/>
        <v>U</v>
      </c>
    </row>
    <row r="55" spans="1:19" ht="13.5" thickBot="1" x14ac:dyDescent="0.25">
      <c r="A55" s="4">
        <f>DATEVALUE(DataIn!A75)</f>
        <v>42874</v>
      </c>
      <c r="B55" s="5" t="str">
        <f>DataIn!B75</f>
        <v>POS 512967XXXXXX4422 PAYTM MOBILE SOL POS DEBIT</v>
      </c>
      <c r="C55" s="5" t="str">
        <f>DataIn!C75</f>
        <v>0000000000430944</v>
      </c>
      <c r="D55" s="5" t="str">
        <f>DataIn!D75</f>
        <v>19/05/17</v>
      </c>
      <c r="E55" s="5">
        <f>DataIn!E75</f>
        <v>348</v>
      </c>
      <c r="F55" s="5">
        <f>DataIn!F75</f>
        <v>0</v>
      </c>
      <c r="G55" s="5">
        <f>DataIn!G75</f>
        <v>106021.5</v>
      </c>
      <c r="H55" s="6" t="b">
        <f>SUMPRODUCT(--ISNUMBER(SEARCH(CategoriesConfig!B$3:B$12,$B55)))&gt;0</f>
        <v>0</v>
      </c>
      <c r="I55" s="6" t="b">
        <f>SUMPRODUCT(--ISNUMBER(SEARCH(CategoriesConfig!C$3:C$12,$B55)))&gt;0</f>
        <v>0</v>
      </c>
      <c r="J55" s="6" t="b">
        <f>SUMPRODUCT(--ISNUMBER(SEARCH(CategoriesConfig!D$3:D$12,$B55)))&gt;0</f>
        <v>0</v>
      </c>
      <c r="K55" s="6" t="b">
        <f>SUMPRODUCT(--ISNUMBER(SEARCH(CategoriesConfig!E$3:E$12,$B55)))&gt;0</f>
        <v>0</v>
      </c>
      <c r="L55" s="6" t="b">
        <f>SUMPRODUCT(--ISNUMBER(SEARCH(CategoriesConfig!F$3:F$12,$B55)))&gt;0</f>
        <v>0</v>
      </c>
      <c r="M55" s="6" t="b">
        <f>SUMPRODUCT(--ISNUMBER(SEARCH(CategoriesConfig!G$3:G$12,$B55)))&gt;0</f>
        <v>1</v>
      </c>
      <c r="N55" s="6" t="b">
        <f>SUMPRODUCT(--ISNUMBER(SEARCH(CategoriesConfig!H$3:H$12,$B55)))&gt;0</f>
        <v>0</v>
      </c>
      <c r="O55" s="6" t="b">
        <f>SUMPRODUCT(--ISNUMBER(SEARCH(CategoriesConfig!I$3:I$12,$B55)))&gt;0</f>
        <v>0</v>
      </c>
      <c r="P55" s="22" t="b">
        <f t="shared" si="0"/>
        <v>0</v>
      </c>
      <c r="Q55" s="22">
        <f t="shared" si="2"/>
        <v>5</v>
      </c>
      <c r="S55" s="6" t="str">
        <f t="shared" si="1"/>
        <v>M</v>
      </c>
    </row>
    <row r="56" spans="1:19" ht="13.5" thickBot="1" x14ac:dyDescent="0.25">
      <c r="A56" s="4">
        <f>DATEVALUE(DataIn!A76)</f>
        <v>42874</v>
      </c>
      <c r="B56" s="5" t="str">
        <f>DataIn!B76</f>
        <v>POS 512967XXXXXX4422 THE BULL RING POS DEBIT</v>
      </c>
      <c r="C56" s="5" t="str">
        <f>DataIn!C76</f>
        <v>0000000000571145</v>
      </c>
      <c r="D56" s="5" t="str">
        <f>DataIn!D76</f>
        <v>19/05/17</v>
      </c>
      <c r="E56" s="5">
        <f>DataIn!E76</f>
        <v>300</v>
      </c>
      <c r="F56" s="5">
        <f>DataIn!F76</f>
        <v>0</v>
      </c>
      <c r="G56" s="5">
        <f>DataIn!G76</f>
        <v>105721.5</v>
      </c>
      <c r="H56" s="6" t="b">
        <f>SUMPRODUCT(--ISNUMBER(SEARCH(CategoriesConfig!B$3:B$12,$B56)))&gt;0</f>
        <v>0</v>
      </c>
      <c r="I56" s="6" t="b">
        <f>SUMPRODUCT(--ISNUMBER(SEARCH(CategoriesConfig!C$3:C$12,$B56)))&gt;0</f>
        <v>0</v>
      </c>
      <c r="J56" s="6" t="b">
        <f>SUMPRODUCT(--ISNUMBER(SEARCH(CategoriesConfig!D$3:D$12,$B56)))&gt;0</f>
        <v>0</v>
      </c>
      <c r="K56" s="6" t="b">
        <f>SUMPRODUCT(--ISNUMBER(SEARCH(CategoriesConfig!E$3:E$12,$B56)))&gt;0</f>
        <v>0</v>
      </c>
      <c r="L56" s="6" t="b">
        <f>SUMPRODUCT(--ISNUMBER(SEARCH(CategoriesConfig!F$3:F$12,$B56)))&gt;0</f>
        <v>0</v>
      </c>
      <c r="M56" s="6" t="b">
        <f>SUMPRODUCT(--ISNUMBER(SEARCH(CategoriesConfig!G$3:G$12,$B56)))&gt;0</f>
        <v>1</v>
      </c>
      <c r="N56" s="6" t="b">
        <f>SUMPRODUCT(--ISNUMBER(SEARCH(CategoriesConfig!H$3:H$12,$B56)))&gt;0</f>
        <v>0</v>
      </c>
      <c r="O56" s="6" t="b">
        <f>SUMPRODUCT(--ISNUMBER(SEARCH(CategoriesConfig!I$3:I$12,$B56)))&gt;0</f>
        <v>0</v>
      </c>
      <c r="P56" s="22" t="b">
        <f t="shared" si="0"/>
        <v>0</v>
      </c>
      <c r="Q56" s="22">
        <f t="shared" si="2"/>
        <v>5</v>
      </c>
      <c r="R56" s="2"/>
      <c r="S56" s="6" t="str">
        <f t="shared" si="1"/>
        <v>M</v>
      </c>
    </row>
    <row r="57" spans="1:19" ht="13.5" thickBot="1" x14ac:dyDescent="0.25">
      <c r="A57" s="4">
        <f>DATEVALUE(DataIn!A77)</f>
        <v>42874</v>
      </c>
      <c r="B57" s="5" t="str">
        <f>DataIn!B77</f>
        <v>POS 512967XXXXXX4422 DROPS TOTAL SPIR POS DEBIT</v>
      </c>
      <c r="C57" s="5" t="str">
        <f>DataIn!C77</f>
        <v>0000000000019678</v>
      </c>
      <c r="D57" s="5" t="str">
        <f>DataIn!D77</f>
        <v>19/05/17</v>
      </c>
      <c r="E57" s="5">
        <f>DataIn!E77</f>
        <v>1240</v>
      </c>
      <c r="F57" s="5">
        <f>DataIn!F77</f>
        <v>0</v>
      </c>
      <c r="G57" s="5">
        <f>DataIn!G77</f>
        <v>104481.5</v>
      </c>
      <c r="H57" s="6" t="b">
        <f>SUMPRODUCT(--ISNUMBER(SEARCH(CategoriesConfig!B$3:B$12,$B57)))&gt;0</f>
        <v>0</v>
      </c>
      <c r="I57" s="6" t="b">
        <f>SUMPRODUCT(--ISNUMBER(SEARCH(CategoriesConfig!C$3:C$12,$B57)))&gt;0</f>
        <v>0</v>
      </c>
      <c r="J57" s="6" t="b">
        <f>SUMPRODUCT(--ISNUMBER(SEARCH(CategoriesConfig!D$3:D$12,$B57)))&gt;0</f>
        <v>0</v>
      </c>
      <c r="K57" s="6" t="b">
        <f>SUMPRODUCT(--ISNUMBER(SEARCH(CategoriesConfig!E$3:E$12,$B57)))&gt;0</f>
        <v>0</v>
      </c>
      <c r="L57" s="6" t="b">
        <f>SUMPRODUCT(--ISNUMBER(SEARCH(CategoriesConfig!F$3:F$12,$B57)))&gt;0</f>
        <v>0</v>
      </c>
      <c r="M57" s="6" t="b">
        <f>SUMPRODUCT(--ISNUMBER(SEARCH(CategoriesConfig!G$3:G$12,$B57)))&gt;0</f>
        <v>0</v>
      </c>
      <c r="N57" s="6" t="b">
        <f>SUMPRODUCT(--ISNUMBER(SEARCH(CategoriesConfig!H$3:H$12,$B57)))&gt;0</f>
        <v>0</v>
      </c>
      <c r="O57" s="6" t="b">
        <f>SUMPRODUCT(--ISNUMBER(SEARCH(CategoriesConfig!I$3:I$12,$B57)))&gt;0</f>
        <v>0</v>
      </c>
      <c r="P57" s="22" t="b">
        <f t="shared" si="0"/>
        <v>1</v>
      </c>
      <c r="Q57" s="22">
        <f t="shared" si="2"/>
        <v>5</v>
      </c>
      <c r="R57" s="2" t="s">
        <v>221</v>
      </c>
      <c r="S57" s="6" t="str">
        <f t="shared" si="1"/>
        <v>F</v>
      </c>
    </row>
    <row r="58" spans="1:19" ht="13.5" thickBot="1" x14ac:dyDescent="0.25">
      <c r="A58" s="4">
        <f>DATEVALUE(DataIn!A78)</f>
        <v>42875</v>
      </c>
      <c r="B58" s="5" t="str">
        <f>DataIn!B78</f>
        <v>POS 512967XXXXXX4422 ZES*UBER INDIA S POS DEBIT</v>
      </c>
      <c r="C58" s="5" t="str">
        <f>DataIn!C78</f>
        <v>0000714060008497</v>
      </c>
      <c r="D58" s="5" t="str">
        <f>DataIn!D78</f>
        <v>20/05/17</v>
      </c>
      <c r="E58" s="5">
        <f>DataIn!E78</f>
        <v>191.63</v>
      </c>
      <c r="F58" s="5">
        <f>DataIn!F78</f>
        <v>0</v>
      </c>
      <c r="G58" s="5">
        <f>DataIn!G78</f>
        <v>104289.87</v>
      </c>
      <c r="H58" s="6" t="b">
        <f>SUMPRODUCT(--ISNUMBER(SEARCH(CategoriesConfig!B$3:B$12,$B58)))&gt;0</f>
        <v>0</v>
      </c>
      <c r="I58" s="6" t="b">
        <f>SUMPRODUCT(--ISNUMBER(SEARCH(CategoriesConfig!C$3:C$12,$B58)))&gt;0</f>
        <v>1</v>
      </c>
      <c r="J58" s="6" t="b">
        <f>SUMPRODUCT(--ISNUMBER(SEARCH(CategoriesConfig!D$3:D$12,$B58)))&gt;0</f>
        <v>0</v>
      </c>
      <c r="K58" s="6" t="b">
        <f>SUMPRODUCT(--ISNUMBER(SEARCH(CategoriesConfig!E$3:E$12,$B58)))&gt;0</f>
        <v>0</v>
      </c>
      <c r="L58" s="6" t="b">
        <f>SUMPRODUCT(--ISNUMBER(SEARCH(CategoriesConfig!F$3:F$12,$B58)))&gt;0</f>
        <v>0</v>
      </c>
      <c r="M58" s="6" t="b">
        <f>SUMPRODUCT(--ISNUMBER(SEARCH(CategoriesConfig!G$3:G$12,$B58)))&gt;0</f>
        <v>0</v>
      </c>
      <c r="N58" s="6" t="b">
        <f>SUMPRODUCT(--ISNUMBER(SEARCH(CategoriesConfig!H$3:H$12,$B58)))&gt;0</f>
        <v>0</v>
      </c>
      <c r="O58" s="6" t="b">
        <f>SUMPRODUCT(--ISNUMBER(SEARCH(CategoriesConfig!I$3:I$12,$B58)))&gt;0</f>
        <v>0</v>
      </c>
      <c r="P58" s="22" t="b">
        <f t="shared" si="0"/>
        <v>0</v>
      </c>
      <c r="Q58" s="22">
        <f t="shared" si="2"/>
        <v>5</v>
      </c>
      <c r="S58" s="6" t="str">
        <f t="shared" si="1"/>
        <v>U</v>
      </c>
    </row>
    <row r="59" spans="1:19" ht="13.5" thickBot="1" x14ac:dyDescent="0.25">
      <c r="A59" s="4">
        <f>DATEVALUE(DataIn!A79)</f>
        <v>42875</v>
      </c>
      <c r="B59" s="5" t="str">
        <f>DataIn!B79</f>
        <v>POS 512967XXXXXX4422 PTM*PAYTM POS DEBIT</v>
      </c>
      <c r="C59" s="5" t="str">
        <f>DataIn!C79</f>
        <v>0000714000162899</v>
      </c>
      <c r="D59" s="5" t="str">
        <f>DataIn!D79</f>
        <v>20/05/17</v>
      </c>
      <c r="E59" s="5">
        <f>DataIn!E79</f>
        <v>235</v>
      </c>
      <c r="F59" s="5">
        <f>DataIn!F79</f>
        <v>0</v>
      </c>
      <c r="G59" s="5">
        <f>DataIn!G79</f>
        <v>104054.87</v>
      </c>
      <c r="H59" s="6" t="b">
        <f>SUMPRODUCT(--ISNUMBER(SEARCH(CategoriesConfig!B$3:B$12,$B59)))&gt;0</f>
        <v>0</v>
      </c>
      <c r="I59" s="6" t="b">
        <f>SUMPRODUCT(--ISNUMBER(SEARCH(CategoriesConfig!C$3:C$12,$B59)))&gt;0</f>
        <v>0</v>
      </c>
      <c r="J59" s="6" t="b">
        <f>SUMPRODUCT(--ISNUMBER(SEARCH(CategoriesConfig!D$3:D$12,$B59)))&gt;0</f>
        <v>0</v>
      </c>
      <c r="K59" s="6" t="b">
        <f>SUMPRODUCT(--ISNUMBER(SEARCH(CategoriesConfig!E$3:E$12,$B59)))&gt;0</f>
        <v>0</v>
      </c>
      <c r="L59" s="6" t="b">
        <f>SUMPRODUCT(--ISNUMBER(SEARCH(CategoriesConfig!F$3:F$12,$B59)))&gt;0</f>
        <v>0</v>
      </c>
      <c r="M59" s="6" t="b">
        <f>SUMPRODUCT(--ISNUMBER(SEARCH(CategoriesConfig!G$3:G$12,$B59)))&gt;0</f>
        <v>0</v>
      </c>
      <c r="N59" s="6" t="b">
        <f>SUMPRODUCT(--ISNUMBER(SEARCH(CategoriesConfig!H$3:H$12,$B59)))&gt;0</f>
        <v>0</v>
      </c>
      <c r="O59" s="6" t="b">
        <f>SUMPRODUCT(--ISNUMBER(SEARCH(CategoriesConfig!I$3:I$12,$B59)))&gt;0</f>
        <v>0</v>
      </c>
      <c r="P59" s="22" t="b">
        <f t="shared" si="0"/>
        <v>1</v>
      </c>
      <c r="Q59" s="22">
        <f t="shared" si="2"/>
        <v>5</v>
      </c>
      <c r="R59" s="2" t="s">
        <v>223</v>
      </c>
      <c r="S59" s="6" t="str">
        <f t="shared" si="1"/>
        <v>M</v>
      </c>
    </row>
    <row r="60" spans="1:19" ht="13.5" thickBot="1" x14ac:dyDescent="0.25">
      <c r="A60" s="4">
        <f>DATEVALUE(DataIn!A80)</f>
        <v>42875</v>
      </c>
      <c r="B60" s="5" t="str">
        <f>DataIn!B80</f>
        <v>POS 512967XXXXXX4422 ZES*UBER INDIA S POS DEBIT</v>
      </c>
      <c r="C60" s="5" t="str">
        <f>DataIn!C80</f>
        <v>0000714060103621</v>
      </c>
      <c r="D60" s="5" t="str">
        <f>DataIn!D80</f>
        <v>20/05/17</v>
      </c>
      <c r="E60" s="5">
        <f>DataIn!E80</f>
        <v>107.5</v>
      </c>
      <c r="F60" s="5">
        <f>DataIn!F80</f>
        <v>0</v>
      </c>
      <c r="G60" s="5">
        <f>DataIn!G80</f>
        <v>103947.37</v>
      </c>
      <c r="H60" s="6" t="b">
        <f>SUMPRODUCT(--ISNUMBER(SEARCH(CategoriesConfig!B$3:B$12,$B60)))&gt;0</f>
        <v>0</v>
      </c>
      <c r="I60" s="6" t="b">
        <f>SUMPRODUCT(--ISNUMBER(SEARCH(CategoriesConfig!C$3:C$12,$B60)))&gt;0</f>
        <v>1</v>
      </c>
      <c r="J60" s="6" t="b">
        <f>SUMPRODUCT(--ISNUMBER(SEARCH(CategoriesConfig!D$3:D$12,$B60)))&gt;0</f>
        <v>0</v>
      </c>
      <c r="K60" s="6" t="b">
        <f>SUMPRODUCT(--ISNUMBER(SEARCH(CategoriesConfig!E$3:E$12,$B60)))&gt;0</f>
        <v>0</v>
      </c>
      <c r="L60" s="6" t="b">
        <f>SUMPRODUCT(--ISNUMBER(SEARCH(CategoriesConfig!F$3:F$12,$B60)))&gt;0</f>
        <v>0</v>
      </c>
      <c r="M60" s="6" t="b">
        <f>SUMPRODUCT(--ISNUMBER(SEARCH(CategoriesConfig!G$3:G$12,$B60)))&gt;0</f>
        <v>0</v>
      </c>
      <c r="N60" s="6" t="b">
        <f>SUMPRODUCT(--ISNUMBER(SEARCH(CategoriesConfig!H$3:H$12,$B60)))&gt;0</f>
        <v>0</v>
      </c>
      <c r="O60" s="6" t="b">
        <f>SUMPRODUCT(--ISNUMBER(SEARCH(CategoriesConfig!I$3:I$12,$B60)))&gt;0</f>
        <v>0</v>
      </c>
      <c r="P60" s="22" t="b">
        <f t="shared" si="0"/>
        <v>0</v>
      </c>
      <c r="Q60" s="22">
        <f t="shared" si="2"/>
        <v>5</v>
      </c>
      <c r="S60" s="6" t="str">
        <f t="shared" si="1"/>
        <v>U</v>
      </c>
    </row>
    <row r="61" spans="1:19" ht="13.5" thickBot="1" x14ac:dyDescent="0.25">
      <c r="A61" s="4">
        <f>DATEVALUE(DataIn!A81)</f>
        <v>42875</v>
      </c>
      <c r="B61" s="5" t="str">
        <f>DataIn!B81</f>
        <v>POS 512967XXXXXX4422 PTM*PAYTM APP POS DEBIT</v>
      </c>
      <c r="C61" s="5" t="str">
        <f>DataIn!C81</f>
        <v>0000714000264774</v>
      </c>
      <c r="D61" s="5" t="str">
        <f>DataIn!D81</f>
        <v>20/05/17</v>
      </c>
      <c r="E61" s="5">
        <f>DataIn!E81</f>
        <v>355</v>
      </c>
      <c r="F61" s="5">
        <f>DataIn!F81</f>
        <v>0</v>
      </c>
      <c r="G61" s="5">
        <f>DataIn!G81</f>
        <v>103592.37</v>
      </c>
      <c r="H61" s="6" t="b">
        <f>SUMPRODUCT(--ISNUMBER(SEARCH(CategoriesConfig!B$3:B$12,$B61)))&gt;0</f>
        <v>0</v>
      </c>
      <c r="I61" s="6" t="b">
        <f>SUMPRODUCT(--ISNUMBER(SEARCH(CategoriesConfig!C$3:C$12,$B61)))&gt;0</f>
        <v>0</v>
      </c>
      <c r="J61" s="6" t="b">
        <f>SUMPRODUCT(--ISNUMBER(SEARCH(CategoriesConfig!D$3:D$12,$B61)))&gt;0</f>
        <v>0</v>
      </c>
      <c r="K61" s="6" t="b">
        <f>SUMPRODUCT(--ISNUMBER(SEARCH(CategoriesConfig!E$3:E$12,$B61)))&gt;0</f>
        <v>0</v>
      </c>
      <c r="L61" s="6" t="b">
        <f>SUMPRODUCT(--ISNUMBER(SEARCH(CategoriesConfig!F$3:F$12,$B61)))&gt;0</f>
        <v>0</v>
      </c>
      <c r="M61" s="6" t="b">
        <f>SUMPRODUCT(--ISNUMBER(SEARCH(CategoriesConfig!G$3:G$12,$B61)))&gt;0</f>
        <v>0</v>
      </c>
      <c r="N61" s="6" t="b">
        <f>SUMPRODUCT(--ISNUMBER(SEARCH(CategoriesConfig!H$3:H$12,$B61)))&gt;0</f>
        <v>0</v>
      </c>
      <c r="O61" s="6" t="b">
        <f>SUMPRODUCT(--ISNUMBER(SEARCH(CategoriesConfig!I$3:I$12,$B61)))&gt;0</f>
        <v>0</v>
      </c>
      <c r="P61" s="22" t="b">
        <f t="shared" si="0"/>
        <v>1</v>
      </c>
      <c r="Q61" s="22">
        <f t="shared" si="2"/>
        <v>5</v>
      </c>
      <c r="R61" s="2" t="s">
        <v>221</v>
      </c>
      <c r="S61" s="6" t="str">
        <f t="shared" si="1"/>
        <v>F</v>
      </c>
    </row>
    <row r="62" spans="1:19" ht="13.5" thickBot="1" x14ac:dyDescent="0.25">
      <c r="A62" s="4">
        <f>DATEVALUE(DataIn!A82)</f>
        <v>42875</v>
      </c>
      <c r="B62" s="5" t="str">
        <f>DataIn!B82</f>
        <v>POS 512967XXXXXX4422 ZES*UBER INDIA S POS DEBIT</v>
      </c>
      <c r="C62" s="5" t="str">
        <f>DataIn!C82</f>
        <v>0000714060146890</v>
      </c>
      <c r="D62" s="5" t="str">
        <f>DataIn!D82</f>
        <v>20/05/17</v>
      </c>
      <c r="E62" s="5">
        <f>DataIn!E82</f>
        <v>128.16999999999999</v>
      </c>
      <c r="F62" s="5">
        <f>DataIn!F82</f>
        <v>0</v>
      </c>
      <c r="G62" s="5">
        <f>DataIn!G82</f>
        <v>103464.2</v>
      </c>
      <c r="H62" s="6" t="b">
        <f>SUMPRODUCT(--ISNUMBER(SEARCH(CategoriesConfig!B$3:B$12,$B62)))&gt;0</f>
        <v>0</v>
      </c>
      <c r="I62" s="6" t="b">
        <f>SUMPRODUCT(--ISNUMBER(SEARCH(CategoriesConfig!C$3:C$12,$B62)))&gt;0</f>
        <v>1</v>
      </c>
      <c r="J62" s="6" t="b">
        <f>SUMPRODUCT(--ISNUMBER(SEARCH(CategoriesConfig!D$3:D$12,$B62)))&gt;0</f>
        <v>0</v>
      </c>
      <c r="K62" s="6" t="b">
        <f>SUMPRODUCT(--ISNUMBER(SEARCH(CategoriesConfig!E$3:E$12,$B62)))&gt;0</f>
        <v>0</v>
      </c>
      <c r="L62" s="6" t="b">
        <f>SUMPRODUCT(--ISNUMBER(SEARCH(CategoriesConfig!F$3:F$12,$B62)))&gt;0</f>
        <v>0</v>
      </c>
      <c r="M62" s="6" t="b">
        <f>SUMPRODUCT(--ISNUMBER(SEARCH(CategoriesConfig!G$3:G$12,$B62)))&gt;0</f>
        <v>0</v>
      </c>
      <c r="N62" s="6" t="b">
        <f>SUMPRODUCT(--ISNUMBER(SEARCH(CategoriesConfig!H$3:H$12,$B62)))&gt;0</f>
        <v>0</v>
      </c>
      <c r="O62" s="6" t="b">
        <f>SUMPRODUCT(--ISNUMBER(SEARCH(CategoriesConfig!I$3:I$12,$B62)))&gt;0</f>
        <v>0</v>
      </c>
      <c r="P62" s="22" t="b">
        <f t="shared" si="0"/>
        <v>0</v>
      </c>
      <c r="Q62" s="22">
        <f t="shared" si="2"/>
        <v>5</v>
      </c>
      <c r="S62" s="6" t="str">
        <f t="shared" si="1"/>
        <v>U</v>
      </c>
    </row>
    <row r="63" spans="1:19" ht="13.5" thickBot="1" x14ac:dyDescent="0.25">
      <c r="A63" s="4">
        <f>DATEVALUE(DataIn!A83)</f>
        <v>42875</v>
      </c>
      <c r="B63" s="5" t="str">
        <f>DataIn!B83</f>
        <v>POS 512967XXXXXX4422 PAYTM MOBILE SOL POS DEBIT</v>
      </c>
      <c r="C63" s="5" t="str">
        <f>DataIn!C83</f>
        <v>0000000000673028</v>
      </c>
      <c r="D63" s="5" t="str">
        <f>DataIn!D83</f>
        <v>20/05/17</v>
      </c>
      <c r="E63" s="5">
        <f>DataIn!E83</f>
        <v>250</v>
      </c>
      <c r="F63" s="5">
        <f>DataIn!F83</f>
        <v>0</v>
      </c>
      <c r="G63" s="5">
        <f>DataIn!G83</f>
        <v>103214.2</v>
      </c>
      <c r="H63" s="6" t="b">
        <f>SUMPRODUCT(--ISNUMBER(SEARCH(CategoriesConfig!B$3:B$12,$B63)))&gt;0</f>
        <v>0</v>
      </c>
      <c r="I63" s="6" t="b">
        <f>SUMPRODUCT(--ISNUMBER(SEARCH(CategoriesConfig!C$3:C$12,$B63)))&gt;0</f>
        <v>0</v>
      </c>
      <c r="J63" s="6" t="b">
        <f>SUMPRODUCT(--ISNUMBER(SEARCH(CategoriesConfig!D$3:D$12,$B63)))&gt;0</f>
        <v>0</v>
      </c>
      <c r="K63" s="6" t="b">
        <f>SUMPRODUCT(--ISNUMBER(SEARCH(CategoriesConfig!E$3:E$12,$B63)))&gt;0</f>
        <v>0</v>
      </c>
      <c r="L63" s="6" t="b">
        <f>SUMPRODUCT(--ISNUMBER(SEARCH(CategoriesConfig!F$3:F$12,$B63)))&gt;0</f>
        <v>0</v>
      </c>
      <c r="M63" s="6" t="b">
        <f>SUMPRODUCT(--ISNUMBER(SEARCH(CategoriesConfig!G$3:G$12,$B63)))&gt;0</f>
        <v>1</v>
      </c>
      <c r="N63" s="6" t="b">
        <f>SUMPRODUCT(--ISNUMBER(SEARCH(CategoriesConfig!H$3:H$12,$B63)))&gt;0</f>
        <v>0</v>
      </c>
      <c r="O63" s="6" t="b">
        <f>SUMPRODUCT(--ISNUMBER(SEARCH(CategoriesConfig!I$3:I$12,$B63)))&gt;0</f>
        <v>0</v>
      </c>
      <c r="P63" s="22" t="b">
        <f t="shared" si="0"/>
        <v>0</v>
      </c>
      <c r="Q63" s="22">
        <f t="shared" si="2"/>
        <v>5</v>
      </c>
      <c r="S63" s="6" t="str">
        <f t="shared" si="1"/>
        <v>M</v>
      </c>
    </row>
    <row r="64" spans="1:19" ht="13.5" thickBot="1" x14ac:dyDescent="0.25">
      <c r="A64" s="4">
        <f>DATEVALUE(DataIn!A84)</f>
        <v>42875</v>
      </c>
      <c r="B64" s="5" t="str">
        <f>DataIn!B84</f>
        <v>POS 512967XXXXXX4422 ZES*UBER INDIA S POS DEBIT</v>
      </c>
      <c r="C64" s="5" t="str">
        <f>DataIn!C84</f>
        <v>0000714040241819</v>
      </c>
      <c r="D64" s="5" t="str">
        <f>DataIn!D84</f>
        <v>20/05/17</v>
      </c>
      <c r="E64" s="5">
        <f>DataIn!E84</f>
        <v>218.74</v>
      </c>
      <c r="F64" s="5">
        <f>DataIn!F84</f>
        <v>0</v>
      </c>
      <c r="G64" s="5">
        <f>DataIn!G84</f>
        <v>102995.46</v>
      </c>
      <c r="H64" s="6" t="b">
        <f>SUMPRODUCT(--ISNUMBER(SEARCH(CategoriesConfig!B$3:B$12,$B64)))&gt;0</f>
        <v>0</v>
      </c>
      <c r="I64" s="6" t="b">
        <f>SUMPRODUCT(--ISNUMBER(SEARCH(CategoriesConfig!C$3:C$12,$B64)))&gt;0</f>
        <v>1</v>
      </c>
      <c r="J64" s="6" t="b">
        <f>SUMPRODUCT(--ISNUMBER(SEARCH(CategoriesConfig!D$3:D$12,$B64)))&gt;0</f>
        <v>0</v>
      </c>
      <c r="K64" s="6" t="b">
        <f>SUMPRODUCT(--ISNUMBER(SEARCH(CategoriesConfig!E$3:E$12,$B64)))&gt;0</f>
        <v>0</v>
      </c>
      <c r="L64" s="6" t="b">
        <f>SUMPRODUCT(--ISNUMBER(SEARCH(CategoriesConfig!F$3:F$12,$B64)))&gt;0</f>
        <v>0</v>
      </c>
      <c r="M64" s="6" t="b">
        <f>SUMPRODUCT(--ISNUMBER(SEARCH(CategoriesConfig!G$3:G$12,$B64)))&gt;0</f>
        <v>0</v>
      </c>
      <c r="N64" s="6" t="b">
        <f>SUMPRODUCT(--ISNUMBER(SEARCH(CategoriesConfig!H$3:H$12,$B64)))&gt;0</f>
        <v>0</v>
      </c>
      <c r="O64" s="6" t="b">
        <f>SUMPRODUCT(--ISNUMBER(SEARCH(CategoriesConfig!I$3:I$12,$B64)))&gt;0</f>
        <v>0</v>
      </c>
      <c r="P64" s="22" t="b">
        <f t="shared" si="0"/>
        <v>0</v>
      </c>
      <c r="Q64" s="22">
        <f t="shared" si="2"/>
        <v>5</v>
      </c>
      <c r="S64" s="6" t="str">
        <f t="shared" si="1"/>
        <v>U</v>
      </c>
    </row>
    <row r="65" spans="1:19" ht="13.5" thickBot="1" x14ac:dyDescent="0.25">
      <c r="A65" s="4">
        <f>DATEVALUE(DataIn!A85)</f>
        <v>42875</v>
      </c>
      <c r="B65" s="5" t="str">
        <f>DataIn!B85</f>
        <v>POS 512967XXXXXX4422 THE BEER CAFE POS DEBIT</v>
      </c>
      <c r="C65" s="5" t="str">
        <f>DataIn!C85</f>
        <v>0000000000511393</v>
      </c>
      <c r="D65" s="5" t="str">
        <f>DataIn!D85</f>
        <v>21/05/17</v>
      </c>
      <c r="E65" s="5">
        <f>DataIn!E85</f>
        <v>233</v>
      </c>
      <c r="F65" s="5">
        <f>DataIn!F85</f>
        <v>0</v>
      </c>
      <c r="G65" s="5">
        <f>DataIn!G85</f>
        <v>102762.46</v>
      </c>
      <c r="H65" s="6" t="b">
        <f>SUMPRODUCT(--ISNUMBER(SEARCH(CategoriesConfig!B$3:B$12,$B65)))&gt;0</f>
        <v>0</v>
      </c>
      <c r="I65" s="6" t="b">
        <f>SUMPRODUCT(--ISNUMBER(SEARCH(CategoriesConfig!C$3:C$12,$B65)))&gt;0</f>
        <v>0</v>
      </c>
      <c r="J65" s="6" t="b">
        <f>SUMPRODUCT(--ISNUMBER(SEARCH(CategoriesConfig!D$3:D$12,$B65)))&gt;0</f>
        <v>0</v>
      </c>
      <c r="K65" s="6" t="b">
        <f>SUMPRODUCT(--ISNUMBER(SEARCH(CategoriesConfig!E$3:E$12,$B65)))&gt;0</f>
        <v>0</v>
      </c>
      <c r="L65" s="6" t="b">
        <f>SUMPRODUCT(--ISNUMBER(SEARCH(CategoriesConfig!F$3:F$12,$B65)))&gt;0</f>
        <v>1</v>
      </c>
      <c r="M65" s="6" t="b">
        <f>SUMPRODUCT(--ISNUMBER(SEARCH(CategoriesConfig!G$3:G$12,$B65)))&gt;0</f>
        <v>0</v>
      </c>
      <c r="N65" s="6" t="b">
        <f>SUMPRODUCT(--ISNUMBER(SEARCH(CategoriesConfig!H$3:H$12,$B65)))&gt;0</f>
        <v>0</v>
      </c>
      <c r="O65" s="6" t="b">
        <f>SUMPRODUCT(--ISNUMBER(SEARCH(CategoriesConfig!I$3:I$12,$B65)))&gt;0</f>
        <v>0</v>
      </c>
      <c r="P65" s="22" t="b">
        <f t="shared" si="0"/>
        <v>0</v>
      </c>
      <c r="Q65" s="22">
        <f t="shared" si="2"/>
        <v>5</v>
      </c>
      <c r="S65" s="6" t="str">
        <f t="shared" si="1"/>
        <v>F</v>
      </c>
    </row>
    <row r="66" spans="1:19" ht="13.5" thickBot="1" x14ac:dyDescent="0.25">
      <c r="A66" s="4">
        <f>DATEVALUE(DataIn!A86)</f>
        <v>42876</v>
      </c>
      <c r="B66" s="5" t="str">
        <f>DataIn!B86</f>
        <v>POS 512967XXXXXX4422 PAYU-WWW.SWIGGY. POS DEBIT</v>
      </c>
      <c r="C66" s="5" t="str">
        <f>DataIn!C86</f>
        <v>0000010017890130</v>
      </c>
      <c r="D66" s="5" t="str">
        <f>DataIn!D86</f>
        <v>21/05/17</v>
      </c>
      <c r="E66" s="5">
        <f>DataIn!E86</f>
        <v>468</v>
      </c>
      <c r="F66" s="5">
        <f>DataIn!F86</f>
        <v>0</v>
      </c>
      <c r="G66" s="5">
        <f>DataIn!G86</f>
        <v>102294.46</v>
      </c>
      <c r="H66" s="6" t="b">
        <f>SUMPRODUCT(--ISNUMBER(SEARCH(CategoriesConfig!B$3:B$12,$B66)))&gt;0</f>
        <v>0</v>
      </c>
      <c r="I66" s="6" t="b">
        <f>SUMPRODUCT(--ISNUMBER(SEARCH(CategoriesConfig!C$3:C$12,$B66)))&gt;0</f>
        <v>0</v>
      </c>
      <c r="J66" s="6" t="b">
        <f>SUMPRODUCT(--ISNUMBER(SEARCH(CategoriesConfig!D$3:D$12,$B66)))&gt;0</f>
        <v>0</v>
      </c>
      <c r="K66" s="6" t="b">
        <f>SUMPRODUCT(--ISNUMBER(SEARCH(CategoriesConfig!E$3:E$12,$B66)))&gt;0</f>
        <v>0</v>
      </c>
      <c r="L66" s="6" t="b">
        <f>SUMPRODUCT(--ISNUMBER(SEARCH(CategoriesConfig!F$3:F$12,$B66)))&gt;0</f>
        <v>1</v>
      </c>
      <c r="M66" s="6" t="b">
        <f>SUMPRODUCT(--ISNUMBER(SEARCH(CategoriesConfig!G$3:G$12,$B66)))&gt;0</f>
        <v>0</v>
      </c>
      <c r="N66" s="6" t="b">
        <f>SUMPRODUCT(--ISNUMBER(SEARCH(CategoriesConfig!H$3:H$12,$B66)))&gt;0</f>
        <v>0</v>
      </c>
      <c r="O66" s="6" t="b">
        <f>SUMPRODUCT(--ISNUMBER(SEARCH(CategoriesConfig!I$3:I$12,$B66)))&gt;0</f>
        <v>0</v>
      </c>
      <c r="P66" s="22" t="b">
        <f t="shared" si="0"/>
        <v>0</v>
      </c>
      <c r="Q66" s="22">
        <f t="shared" si="2"/>
        <v>5</v>
      </c>
      <c r="S66" s="6" t="str">
        <f t="shared" si="1"/>
        <v>F</v>
      </c>
    </row>
    <row r="67" spans="1:19" ht="13.5" thickBot="1" x14ac:dyDescent="0.25">
      <c r="A67" s="4">
        <f>DATEVALUE(DataIn!A87)</f>
        <v>42876</v>
      </c>
      <c r="B67" s="5" t="str">
        <f>DataIn!B87</f>
        <v>POS 512967XXXXXX4422 RSP*RAZORPAY PAY POS DEBIT</v>
      </c>
      <c r="C67" s="5" t="str">
        <f>DataIn!C87</f>
        <v>0000714170062137</v>
      </c>
      <c r="D67" s="5" t="str">
        <f>DataIn!D87</f>
        <v>21/05/17</v>
      </c>
      <c r="E67" s="5">
        <f>DataIn!E87</f>
        <v>18000</v>
      </c>
      <c r="F67" s="5">
        <f>DataIn!F87</f>
        <v>0</v>
      </c>
      <c r="G67" s="5">
        <f>DataIn!G87</f>
        <v>84294.46</v>
      </c>
      <c r="H67" s="6" t="b">
        <f>SUMPRODUCT(--ISNUMBER(SEARCH(CategoriesConfig!B$3:B$12,$B67)))&gt;0</f>
        <v>0</v>
      </c>
      <c r="I67" s="6" t="b">
        <f>SUMPRODUCT(--ISNUMBER(SEARCH(CategoriesConfig!C$3:C$12,$B67)))&gt;0</f>
        <v>0</v>
      </c>
      <c r="J67" s="6" t="b">
        <f>SUMPRODUCT(--ISNUMBER(SEARCH(CategoriesConfig!D$3:D$12,$B67)))&gt;0</f>
        <v>0</v>
      </c>
      <c r="K67" s="6" t="b">
        <f>SUMPRODUCT(--ISNUMBER(SEARCH(CategoriesConfig!E$3:E$12,$B67)))&gt;0</f>
        <v>0</v>
      </c>
      <c r="L67" s="6" t="b">
        <f>SUMPRODUCT(--ISNUMBER(SEARCH(CategoriesConfig!F$3:F$12,$B67)))&gt;0</f>
        <v>0</v>
      </c>
      <c r="M67" s="6" t="b">
        <f>SUMPRODUCT(--ISNUMBER(SEARCH(CategoriesConfig!G$3:G$12,$B67)))&gt;0</f>
        <v>0</v>
      </c>
      <c r="N67" s="6" t="b">
        <f>SUMPRODUCT(--ISNUMBER(SEARCH(CategoriesConfig!H$3:H$12,$B67)))&gt;0</f>
        <v>0</v>
      </c>
      <c r="O67" s="6" t="b">
        <f>SUMPRODUCT(--ISNUMBER(SEARCH(CategoriesConfig!I$3:I$12,$B67)))&gt;0</f>
        <v>0</v>
      </c>
      <c r="P67" s="22" t="b">
        <f t="shared" ref="P67:P106" si="3">IF(SUMIF(H67:O67,"TRUE",H$1:O$1)=0,TRUE,FALSE)</f>
        <v>1</v>
      </c>
      <c r="Q67" s="22">
        <f t="shared" si="2"/>
        <v>5</v>
      </c>
      <c r="R67" s="2" t="s">
        <v>227</v>
      </c>
      <c r="S67" s="6" t="str">
        <f t="shared" ref="S67:S130" si="4">IF(ISBLANK(R67),INDEX(H$2:P$917,1,SUMIF(H67:P67,"TRUE",H$1:P$1)),R67)</f>
        <v>C</v>
      </c>
    </row>
    <row r="68" spans="1:19" ht="13.5" thickBot="1" x14ac:dyDescent="0.25">
      <c r="A68" s="4">
        <f>DATEVALUE(DataIn!A88)</f>
        <v>42876</v>
      </c>
      <c r="B68" s="5" t="str">
        <f>DataIn!B88</f>
        <v>POS 512967XXXXXX4422 FANOOS RESTAURAN POS DEBIT</v>
      </c>
      <c r="C68" s="5" t="str">
        <f>DataIn!C88</f>
        <v>0000000000559840</v>
      </c>
      <c r="D68" s="5" t="str">
        <f>DataIn!D88</f>
        <v>21/05/17</v>
      </c>
      <c r="E68" s="5">
        <f>DataIn!E88</f>
        <v>220</v>
      </c>
      <c r="F68" s="5">
        <f>DataIn!F88</f>
        <v>0</v>
      </c>
      <c r="G68" s="5">
        <f>DataIn!G88</f>
        <v>84074.46</v>
      </c>
      <c r="H68" s="6" t="b">
        <f>SUMPRODUCT(--ISNUMBER(SEARCH(CategoriesConfig!B$3:B$12,$B68)))&gt;0</f>
        <v>0</v>
      </c>
      <c r="I68" s="6" t="b">
        <f>SUMPRODUCT(--ISNUMBER(SEARCH(CategoriesConfig!C$3:C$12,$B68)))&gt;0</f>
        <v>0</v>
      </c>
      <c r="J68" s="6" t="b">
        <f>SUMPRODUCT(--ISNUMBER(SEARCH(CategoriesConfig!D$3:D$12,$B68)))&gt;0</f>
        <v>0</v>
      </c>
      <c r="K68" s="6" t="b">
        <f>SUMPRODUCT(--ISNUMBER(SEARCH(CategoriesConfig!E$3:E$12,$B68)))&gt;0</f>
        <v>0</v>
      </c>
      <c r="L68" s="6" t="b">
        <f>SUMPRODUCT(--ISNUMBER(SEARCH(CategoriesConfig!F$3:F$12,$B68)))&gt;0</f>
        <v>0</v>
      </c>
      <c r="M68" s="6" t="b">
        <f>SUMPRODUCT(--ISNUMBER(SEARCH(CategoriesConfig!G$3:G$12,$B68)))&gt;0</f>
        <v>0</v>
      </c>
      <c r="N68" s="6" t="b">
        <f>SUMPRODUCT(--ISNUMBER(SEARCH(CategoriesConfig!H$3:H$12,$B68)))&gt;0</f>
        <v>0</v>
      </c>
      <c r="O68" s="6" t="b">
        <f>SUMPRODUCT(--ISNUMBER(SEARCH(CategoriesConfig!I$3:I$12,$B68)))&gt;0</f>
        <v>0</v>
      </c>
      <c r="P68" s="22" t="b">
        <f t="shared" si="3"/>
        <v>1</v>
      </c>
      <c r="Q68" s="22">
        <f t="shared" ref="Q68:Q131" si="5">MONTH(A68)</f>
        <v>5</v>
      </c>
      <c r="R68" s="2" t="s">
        <v>221</v>
      </c>
      <c r="S68" s="6" t="str">
        <f t="shared" si="4"/>
        <v>F</v>
      </c>
    </row>
    <row r="69" spans="1:19" ht="13.5" thickBot="1" x14ac:dyDescent="0.25">
      <c r="A69" s="4">
        <f>DATEVALUE(DataIn!A89)</f>
        <v>42876</v>
      </c>
      <c r="B69" s="5" t="str">
        <f>DataIn!B89</f>
        <v>POS 512967XXXXXX4422 THE BULL RING POS DEBIT</v>
      </c>
      <c r="C69" s="5" t="str">
        <f>DataIn!C89</f>
        <v>0000000000920854</v>
      </c>
      <c r="D69" s="5" t="str">
        <f>DataIn!D89</f>
        <v>21/05/17</v>
      </c>
      <c r="E69" s="5">
        <f>DataIn!E89</f>
        <v>500</v>
      </c>
      <c r="F69" s="5">
        <f>DataIn!F89</f>
        <v>0</v>
      </c>
      <c r="G69" s="5">
        <f>DataIn!G89</f>
        <v>83574.460000000006</v>
      </c>
      <c r="H69" s="6" t="b">
        <f>SUMPRODUCT(--ISNUMBER(SEARCH(CategoriesConfig!B$3:B$12,$B69)))&gt;0</f>
        <v>0</v>
      </c>
      <c r="I69" s="6" t="b">
        <f>SUMPRODUCT(--ISNUMBER(SEARCH(CategoriesConfig!C$3:C$12,$B69)))&gt;0</f>
        <v>0</v>
      </c>
      <c r="J69" s="6" t="b">
        <f>SUMPRODUCT(--ISNUMBER(SEARCH(CategoriesConfig!D$3:D$12,$B69)))&gt;0</f>
        <v>0</v>
      </c>
      <c r="K69" s="6" t="b">
        <f>SUMPRODUCT(--ISNUMBER(SEARCH(CategoriesConfig!E$3:E$12,$B69)))&gt;0</f>
        <v>0</v>
      </c>
      <c r="L69" s="6" t="b">
        <f>SUMPRODUCT(--ISNUMBER(SEARCH(CategoriesConfig!F$3:F$12,$B69)))&gt;0</f>
        <v>0</v>
      </c>
      <c r="M69" s="6" t="b">
        <f>SUMPRODUCT(--ISNUMBER(SEARCH(CategoriesConfig!G$3:G$12,$B69)))&gt;0</f>
        <v>1</v>
      </c>
      <c r="N69" s="6" t="b">
        <f>SUMPRODUCT(--ISNUMBER(SEARCH(CategoriesConfig!H$3:H$12,$B69)))&gt;0</f>
        <v>0</v>
      </c>
      <c r="O69" s="6" t="b">
        <f>SUMPRODUCT(--ISNUMBER(SEARCH(CategoriesConfig!I$3:I$12,$B69)))&gt;0</f>
        <v>0</v>
      </c>
      <c r="P69" s="22" t="b">
        <f t="shared" si="3"/>
        <v>0</v>
      </c>
      <c r="Q69" s="22">
        <f t="shared" si="5"/>
        <v>5</v>
      </c>
      <c r="S69" s="6" t="str">
        <f t="shared" si="4"/>
        <v>M</v>
      </c>
    </row>
    <row r="70" spans="1:19" ht="13.5" thickBot="1" x14ac:dyDescent="0.25">
      <c r="A70" s="4">
        <f>DATEVALUE(DataIn!A90)</f>
        <v>42877</v>
      </c>
      <c r="B70" s="5" t="str">
        <f>DataIn!B90</f>
        <v>POS 512967XXXXXX4422 CELEBRATIONS, POS DEBIT</v>
      </c>
      <c r="C70" s="5" t="str">
        <f>DataIn!C90</f>
        <v>0000000000008147</v>
      </c>
      <c r="D70" s="5" t="str">
        <f>DataIn!D90</f>
        <v>22/05/17</v>
      </c>
      <c r="E70" s="5">
        <f>DataIn!E90</f>
        <v>75</v>
      </c>
      <c r="F70" s="5">
        <f>DataIn!F90</f>
        <v>0</v>
      </c>
      <c r="G70" s="5">
        <f>DataIn!G90</f>
        <v>83499.460000000006</v>
      </c>
      <c r="H70" s="6" t="b">
        <f>SUMPRODUCT(--ISNUMBER(SEARCH(CategoriesConfig!B$3:B$12,$B70)))&gt;0</f>
        <v>0</v>
      </c>
      <c r="I70" s="6" t="b">
        <f>SUMPRODUCT(--ISNUMBER(SEARCH(CategoriesConfig!C$3:C$12,$B70)))&gt;0</f>
        <v>0</v>
      </c>
      <c r="J70" s="6" t="b">
        <f>SUMPRODUCT(--ISNUMBER(SEARCH(CategoriesConfig!D$3:D$12,$B70)))&gt;0</f>
        <v>1</v>
      </c>
      <c r="K70" s="6" t="b">
        <f>SUMPRODUCT(--ISNUMBER(SEARCH(CategoriesConfig!E$3:E$12,$B70)))&gt;0</f>
        <v>0</v>
      </c>
      <c r="L70" s="6" t="b">
        <f>SUMPRODUCT(--ISNUMBER(SEARCH(CategoriesConfig!F$3:F$12,$B70)))&gt;0</f>
        <v>0</v>
      </c>
      <c r="M70" s="6" t="b">
        <f>SUMPRODUCT(--ISNUMBER(SEARCH(CategoriesConfig!G$3:G$12,$B70)))&gt;0</f>
        <v>0</v>
      </c>
      <c r="N70" s="6" t="b">
        <f>SUMPRODUCT(--ISNUMBER(SEARCH(CategoriesConfig!H$3:H$12,$B70)))&gt;0</f>
        <v>0</v>
      </c>
      <c r="O70" s="6" t="b">
        <f>SUMPRODUCT(--ISNUMBER(SEARCH(CategoriesConfig!I$3:I$12,$B70)))&gt;0</f>
        <v>0</v>
      </c>
      <c r="P70" s="22" t="b">
        <f t="shared" si="3"/>
        <v>0</v>
      </c>
      <c r="Q70" s="22">
        <f t="shared" si="5"/>
        <v>5</v>
      </c>
      <c r="S70" s="6" t="str">
        <f t="shared" si="4"/>
        <v>L</v>
      </c>
    </row>
    <row r="71" spans="1:19" ht="13.5" thickBot="1" x14ac:dyDescent="0.25">
      <c r="A71" s="4">
        <f>DATEVALUE(DataIn!A91)</f>
        <v>42877</v>
      </c>
      <c r="B71" s="5" t="str">
        <f>DataIn!B91</f>
        <v>EAW-512967XXXXXX4422-BWRO1028-LKARUR</v>
      </c>
      <c r="C71" s="5" t="str">
        <f>DataIn!C91</f>
        <v>0000000000003202</v>
      </c>
      <c r="D71" s="5" t="str">
        <f>DataIn!D91</f>
        <v>22/05/17</v>
      </c>
      <c r="E71" s="5">
        <f>DataIn!E91</f>
        <v>200</v>
      </c>
      <c r="F71" s="5">
        <f>DataIn!F91</f>
        <v>0</v>
      </c>
      <c r="G71" s="5">
        <f>DataIn!G91</f>
        <v>83299.460000000006</v>
      </c>
      <c r="H71" s="6" t="b">
        <f>SUMPRODUCT(--ISNUMBER(SEARCH(CategoriesConfig!B$3:B$12,$B71)))&gt;0</f>
        <v>0</v>
      </c>
      <c r="I71" s="6" t="b">
        <f>SUMPRODUCT(--ISNUMBER(SEARCH(CategoriesConfig!C$3:C$12,$B71)))&gt;0</f>
        <v>0</v>
      </c>
      <c r="J71" s="6" t="b">
        <f>SUMPRODUCT(--ISNUMBER(SEARCH(CategoriesConfig!D$3:D$12,$B71)))&gt;0</f>
        <v>0</v>
      </c>
      <c r="K71" s="6" t="b">
        <f>SUMPRODUCT(--ISNUMBER(SEARCH(CategoriesConfig!E$3:E$12,$B71)))&gt;0</f>
        <v>0</v>
      </c>
      <c r="L71" s="6" t="b">
        <f>SUMPRODUCT(--ISNUMBER(SEARCH(CategoriesConfig!F$3:F$12,$B71)))&gt;0</f>
        <v>0</v>
      </c>
      <c r="M71" s="6" t="b">
        <f>SUMPRODUCT(--ISNUMBER(SEARCH(CategoriesConfig!G$3:G$12,$B71)))&gt;0</f>
        <v>0</v>
      </c>
      <c r="N71" s="6" t="b">
        <f>SUMPRODUCT(--ISNUMBER(SEARCH(CategoriesConfig!H$3:H$12,$B71)))&gt;0</f>
        <v>1</v>
      </c>
      <c r="O71" s="6" t="b">
        <f>SUMPRODUCT(--ISNUMBER(SEARCH(CategoriesConfig!I$3:I$12,$B71)))&gt;0</f>
        <v>0</v>
      </c>
      <c r="P71" s="22" t="b">
        <f t="shared" si="3"/>
        <v>0</v>
      </c>
      <c r="Q71" s="22">
        <f t="shared" si="5"/>
        <v>5</v>
      </c>
      <c r="S71" s="6" t="str">
        <f t="shared" si="4"/>
        <v>C</v>
      </c>
    </row>
    <row r="72" spans="1:19" ht="13.5" thickBot="1" x14ac:dyDescent="0.25">
      <c r="A72" s="4">
        <f>DATEVALUE(DataIn!A92)</f>
        <v>42877</v>
      </c>
      <c r="B72" s="5" t="str">
        <f>DataIn!B92</f>
        <v>POS 512967XXXXXX4422 ROYAL MART-RICHM POS DEBIT</v>
      </c>
      <c r="C72" s="5" t="str">
        <f>DataIn!C92</f>
        <v>0000000000132692</v>
      </c>
      <c r="D72" s="5" t="str">
        <f>DataIn!D92</f>
        <v>22/05/17</v>
      </c>
      <c r="E72" s="5">
        <f>DataIn!E92</f>
        <v>150</v>
      </c>
      <c r="F72" s="5">
        <f>DataIn!F92</f>
        <v>0</v>
      </c>
      <c r="G72" s="5">
        <f>DataIn!G92</f>
        <v>83149.460000000006</v>
      </c>
      <c r="H72" s="6" t="b">
        <f>SUMPRODUCT(--ISNUMBER(SEARCH(CategoriesConfig!B$3:B$12,$B72)))&gt;0</f>
        <v>0</v>
      </c>
      <c r="I72" s="6" t="b">
        <f>SUMPRODUCT(--ISNUMBER(SEARCH(CategoriesConfig!C$3:C$12,$B72)))&gt;0</f>
        <v>0</v>
      </c>
      <c r="J72" s="6" t="b">
        <f>SUMPRODUCT(--ISNUMBER(SEARCH(CategoriesConfig!D$3:D$12,$B72)))&gt;0</f>
        <v>0</v>
      </c>
      <c r="K72" s="6" t="b">
        <f>SUMPRODUCT(--ISNUMBER(SEARCH(CategoriesConfig!E$3:E$12,$B72)))&gt;0</f>
        <v>0</v>
      </c>
      <c r="L72" s="6" t="b">
        <f>SUMPRODUCT(--ISNUMBER(SEARCH(CategoriesConfig!F$3:F$12,$B72)))&gt;0</f>
        <v>0</v>
      </c>
      <c r="M72" s="6" t="b">
        <f>SUMPRODUCT(--ISNUMBER(SEARCH(CategoriesConfig!G$3:G$12,$B72)))&gt;0</f>
        <v>1</v>
      </c>
      <c r="N72" s="6" t="b">
        <f>SUMPRODUCT(--ISNUMBER(SEARCH(CategoriesConfig!H$3:H$12,$B72)))&gt;0</f>
        <v>0</v>
      </c>
      <c r="O72" s="6" t="b">
        <f>SUMPRODUCT(--ISNUMBER(SEARCH(CategoriesConfig!I$3:I$12,$B72)))&gt;0</f>
        <v>0</v>
      </c>
      <c r="P72" s="22" t="b">
        <f t="shared" si="3"/>
        <v>0</v>
      </c>
      <c r="Q72" s="22">
        <f t="shared" si="5"/>
        <v>5</v>
      </c>
      <c r="S72" s="6" t="str">
        <f t="shared" si="4"/>
        <v>M</v>
      </c>
    </row>
    <row r="73" spans="1:19" ht="13.5" thickBot="1" x14ac:dyDescent="0.25">
      <c r="A73" s="4">
        <f>DATEVALUE(DataIn!A93)</f>
        <v>42878</v>
      </c>
      <c r="B73" s="5" t="str">
        <f>DataIn!B93</f>
        <v>50100179608510  -TPT-PAYBACK</v>
      </c>
      <c r="C73" s="5" t="str">
        <f>DataIn!C93</f>
        <v>00000311633303A1</v>
      </c>
      <c r="D73" s="5" t="str">
        <f>DataIn!D93</f>
        <v>23/05/17</v>
      </c>
      <c r="E73" s="5">
        <f>DataIn!E93</f>
        <v>0</v>
      </c>
      <c r="F73" s="5">
        <f>DataIn!F93</f>
        <v>30436</v>
      </c>
      <c r="G73" s="5">
        <f>DataIn!G93</f>
        <v>113585.46</v>
      </c>
      <c r="H73" s="6" t="b">
        <f>SUMPRODUCT(--ISNUMBER(SEARCH(CategoriesConfig!B$3:B$12,$B73)))&gt;0</f>
        <v>0</v>
      </c>
      <c r="I73" s="6" t="b">
        <f>SUMPRODUCT(--ISNUMBER(SEARCH(CategoriesConfig!C$3:C$12,$B73)))&gt;0</f>
        <v>0</v>
      </c>
      <c r="J73" s="6" t="b">
        <f>SUMPRODUCT(--ISNUMBER(SEARCH(CategoriesConfig!D$3:D$12,$B73)))&gt;0</f>
        <v>0</v>
      </c>
      <c r="K73" s="6" t="b">
        <f>SUMPRODUCT(--ISNUMBER(SEARCH(CategoriesConfig!E$3:E$12,$B73)))&gt;0</f>
        <v>0</v>
      </c>
      <c r="L73" s="6" t="b">
        <f>SUMPRODUCT(--ISNUMBER(SEARCH(CategoriesConfig!F$3:F$12,$B73)))&gt;0</f>
        <v>0</v>
      </c>
      <c r="M73" s="6" t="b">
        <f>SUMPRODUCT(--ISNUMBER(SEARCH(CategoriesConfig!G$3:G$12,$B73)))&gt;0</f>
        <v>0</v>
      </c>
      <c r="N73" s="6" t="b">
        <f>SUMPRODUCT(--ISNUMBER(SEARCH(CategoriesConfig!H$3:H$12,$B73)))&gt;0</f>
        <v>0</v>
      </c>
      <c r="O73" s="6" t="b">
        <f>SUMPRODUCT(--ISNUMBER(SEARCH(CategoriesConfig!I$3:I$12,$B73)))&gt;0</f>
        <v>0</v>
      </c>
      <c r="P73" s="22" t="b">
        <f t="shared" si="3"/>
        <v>1</v>
      </c>
      <c r="Q73" s="22">
        <f t="shared" si="5"/>
        <v>5</v>
      </c>
      <c r="R73" s="2" t="s">
        <v>225</v>
      </c>
      <c r="S73" s="6" t="str">
        <f t="shared" si="4"/>
        <v>I</v>
      </c>
    </row>
    <row r="74" spans="1:19" ht="13.5" thickBot="1" x14ac:dyDescent="0.25">
      <c r="A74" s="4">
        <f>DATEVALUE(DataIn!A94)</f>
        <v>42878</v>
      </c>
      <c r="B74" s="5" t="str">
        <f>DataIn!B94</f>
        <v>POS 512967XXXXXX4422 ZES*UBER INDIA S POS DEBIT</v>
      </c>
      <c r="C74" s="5" t="str">
        <f>DataIn!C94</f>
        <v>0000714360243535</v>
      </c>
      <c r="D74" s="5" t="str">
        <f>DataIn!D94</f>
        <v>23/05/17</v>
      </c>
      <c r="E74" s="5">
        <f>DataIn!E94</f>
        <v>141.65</v>
      </c>
      <c r="F74" s="5">
        <f>DataIn!F94</f>
        <v>0</v>
      </c>
      <c r="G74" s="5">
        <f>DataIn!G94</f>
        <v>113443.81</v>
      </c>
      <c r="H74" s="6" t="b">
        <f>SUMPRODUCT(--ISNUMBER(SEARCH(CategoriesConfig!B$3:B$12,$B74)))&gt;0</f>
        <v>0</v>
      </c>
      <c r="I74" s="6" t="b">
        <f>SUMPRODUCT(--ISNUMBER(SEARCH(CategoriesConfig!C$3:C$12,$B74)))&gt;0</f>
        <v>1</v>
      </c>
      <c r="J74" s="6" t="b">
        <f>SUMPRODUCT(--ISNUMBER(SEARCH(CategoriesConfig!D$3:D$12,$B74)))&gt;0</f>
        <v>0</v>
      </c>
      <c r="K74" s="6" t="b">
        <f>SUMPRODUCT(--ISNUMBER(SEARCH(CategoriesConfig!E$3:E$12,$B74)))&gt;0</f>
        <v>0</v>
      </c>
      <c r="L74" s="6" t="b">
        <f>SUMPRODUCT(--ISNUMBER(SEARCH(CategoriesConfig!F$3:F$12,$B74)))&gt;0</f>
        <v>0</v>
      </c>
      <c r="M74" s="6" t="b">
        <f>SUMPRODUCT(--ISNUMBER(SEARCH(CategoriesConfig!G$3:G$12,$B74)))&gt;0</f>
        <v>0</v>
      </c>
      <c r="N74" s="6" t="b">
        <f>SUMPRODUCT(--ISNUMBER(SEARCH(CategoriesConfig!H$3:H$12,$B74)))&gt;0</f>
        <v>0</v>
      </c>
      <c r="O74" s="6" t="b">
        <f>SUMPRODUCT(--ISNUMBER(SEARCH(CategoriesConfig!I$3:I$12,$B74)))&gt;0</f>
        <v>0</v>
      </c>
      <c r="P74" s="22" t="b">
        <f t="shared" si="3"/>
        <v>0</v>
      </c>
      <c r="Q74" s="22">
        <f t="shared" si="5"/>
        <v>5</v>
      </c>
      <c r="S74" s="6" t="str">
        <f t="shared" si="4"/>
        <v>U</v>
      </c>
    </row>
    <row r="75" spans="1:19" ht="13.5" thickBot="1" x14ac:dyDescent="0.25">
      <c r="A75" s="4">
        <f>DATEVALUE(DataIn!A95)</f>
        <v>42879</v>
      </c>
      <c r="B75" s="5" t="str">
        <f>DataIn!B95</f>
        <v>POS 512967XXXXXX4422 CELEBRATIONS, POS DEBIT</v>
      </c>
      <c r="C75" s="5" t="str">
        <f>DataIn!C95</f>
        <v>0000000000008907</v>
      </c>
      <c r="D75" s="5" t="str">
        <f>DataIn!D95</f>
        <v>24/05/17</v>
      </c>
      <c r="E75" s="5">
        <f>DataIn!E95</f>
        <v>75</v>
      </c>
      <c r="F75" s="5">
        <f>DataIn!F95</f>
        <v>0</v>
      </c>
      <c r="G75" s="5">
        <f>DataIn!G95</f>
        <v>113368.81</v>
      </c>
      <c r="H75" s="6" t="b">
        <f>SUMPRODUCT(--ISNUMBER(SEARCH(CategoriesConfig!B$3:B$12,$B75)))&gt;0</f>
        <v>0</v>
      </c>
      <c r="I75" s="6" t="b">
        <f>SUMPRODUCT(--ISNUMBER(SEARCH(CategoriesConfig!C$3:C$12,$B75)))&gt;0</f>
        <v>0</v>
      </c>
      <c r="J75" s="6" t="b">
        <f>SUMPRODUCT(--ISNUMBER(SEARCH(CategoriesConfig!D$3:D$12,$B75)))&gt;0</f>
        <v>1</v>
      </c>
      <c r="K75" s="6" t="b">
        <f>SUMPRODUCT(--ISNUMBER(SEARCH(CategoriesConfig!E$3:E$12,$B75)))&gt;0</f>
        <v>0</v>
      </c>
      <c r="L75" s="6" t="b">
        <f>SUMPRODUCT(--ISNUMBER(SEARCH(CategoriesConfig!F$3:F$12,$B75)))&gt;0</f>
        <v>0</v>
      </c>
      <c r="M75" s="6" t="b">
        <f>SUMPRODUCT(--ISNUMBER(SEARCH(CategoriesConfig!G$3:G$12,$B75)))&gt;0</f>
        <v>0</v>
      </c>
      <c r="N75" s="6" t="b">
        <f>SUMPRODUCT(--ISNUMBER(SEARCH(CategoriesConfig!H$3:H$12,$B75)))&gt;0</f>
        <v>0</v>
      </c>
      <c r="O75" s="6" t="b">
        <f>SUMPRODUCT(--ISNUMBER(SEARCH(CategoriesConfig!I$3:I$12,$B75)))&gt;0</f>
        <v>0</v>
      </c>
      <c r="P75" s="22" t="b">
        <f t="shared" si="3"/>
        <v>0</v>
      </c>
      <c r="Q75" s="22">
        <f t="shared" si="5"/>
        <v>5</v>
      </c>
      <c r="S75" s="6" t="str">
        <f t="shared" si="4"/>
        <v>L</v>
      </c>
    </row>
    <row r="76" spans="1:19" ht="13.5" thickBot="1" x14ac:dyDescent="0.25">
      <c r="A76" s="4">
        <f>DATEVALUE(DataIn!A96)</f>
        <v>42880</v>
      </c>
      <c r="B76" s="5" t="str">
        <f>DataIn!B96</f>
        <v>POS 512967XXXXXX4422 ZES*UBER INDIA S POS DEBIT</v>
      </c>
      <c r="C76" s="5" t="str">
        <f>DataIn!C96</f>
        <v>0000714560036324</v>
      </c>
      <c r="D76" s="5" t="str">
        <f>DataIn!D96</f>
        <v>25/05/17</v>
      </c>
      <c r="E76" s="5">
        <f>DataIn!E96</f>
        <v>136.66</v>
      </c>
      <c r="F76" s="5">
        <f>DataIn!F96</f>
        <v>0</v>
      </c>
      <c r="G76" s="5">
        <f>DataIn!G96</f>
        <v>113232.15</v>
      </c>
      <c r="H76" s="6" t="b">
        <f>SUMPRODUCT(--ISNUMBER(SEARCH(CategoriesConfig!B$3:B$12,$B76)))&gt;0</f>
        <v>0</v>
      </c>
      <c r="I76" s="6" t="b">
        <f>SUMPRODUCT(--ISNUMBER(SEARCH(CategoriesConfig!C$3:C$12,$B76)))&gt;0</f>
        <v>1</v>
      </c>
      <c r="J76" s="6" t="b">
        <f>SUMPRODUCT(--ISNUMBER(SEARCH(CategoriesConfig!D$3:D$12,$B76)))&gt;0</f>
        <v>0</v>
      </c>
      <c r="K76" s="6" t="b">
        <f>SUMPRODUCT(--ISNUMBER(SEARCH(CategoriesConfig!E$3:E$12,$B76)))&gt;0</f>
        <v>0</v>
      </c>
      <c r="L76" s="6" t="b">
        <f>SUMPRODUCT(--ISNUMBER(SEARCH(CategoriesConfig!F$3:F$12,$B76)))&gt;0</f>
        <v>0</v>
      </c>
      <c r="M76" s="6" t="b">
        <f>SUMPRODUCT(--ISNUMBER(SEARCH(CategoriesConfig!G$3:G$12,$B76)))&gt;0</f>
        <v>0</v>
      </c>
      <c r="N76" s="6" t="b">
        <f>SUMPRODUCT(--ISNUMBER(SEARCH(CategoriesConfig!H$3:H$12,$B76)))&gt;0</f>
        <v>0</v>
      </c>
      <c r="O76" s="6" t="b">
        <f>SUMPRODUCT(--ISNUMBER(SEARCH(CategoriesConfig!I$3:I$12,$B76)))&gt;0</f>
        <v>0</v>
      </c>
      <c r="P76" s="22" t="b">
        <f t="shared" si="3"/>
        <v>0</v>
      </c>
      <c r="Q76" s="22">
        <f t="shared" si="5"/>
        <v>5</v>
      </c>
      <c r="S76" s="6" t="str">
        <f t="shared" si="4"/>
        <v>U</v>
      </c>
    </row>
    <row r="77" spans="1:19" ht="13.5" thickBot="1" x14ac:dyDescent="0.25">
      <c r="A77" s="4">
        <f>DATEVALUE(DataIn!A97)</f>
        <v>42880</v>
      </c>
      <c r="B77" s="5" t="str">
        <f>DataIn!B97</f>
        <v>POS 512967XXXXXX4422 MC DONALDS. POS DEBIT</v>
      </c>
      <c r="C77" s="5" t="str">
        <f>DataIn!C97</f>
        <v>0000000000055637</v>
      </c>
      <c r="D77" s="5" t="str">
        <f>DataIn!D97</f>
        <v>25/05/17</v>
      </c>
      <c r="E77" s="5">
        <f>DataIn!E97</f>
        <v>380.15</v>
      </c>
      <c r="F77" s="5">
        <f>DataIn!F97</f>
        <v>0</v>
      </c>
      <c r="G77" s="5">
        <f>DataIn!G97</f>
        <v>112852</v>
      </c>
      <c r="H77" s="6" t="b">
        <f>SUMPRODUCT(--ISNUMBER(SEARCH(CategoriesConfig!B$3:B$12,$B77)))&gt;0</f>
        <v>0</v>
      </c>
      <c r="I77" s="6" t="b">
        <f>SUMPRODUCT(--ISNUMBER(SEARCH(CategoriesConfig!C$3:C$12,$B77)))&gt;0</f>
        <v>0</v>
      </c>
      <c r="J77" s="6" t="b">
        <f>SUMPRODUCT(--ISNUMBER(SEARCH(CategoriesConfig!D$3:D$12,$B77)))&gt;0</f>
        <v>0</v>
      </c>
      <c r="K77" s="6" t="b">
        <f>SUMPRODUCT(--ISNUMBER(SEARCH(CategoriesConfig!E$3:E$12,$B77)))&gt;0</f>
        <v>0</v>
      </c>
      <c r="L77" s="6" t="b">
        <f>SUMPRODUCT(--ISNUMBER(SEARCH(CategoriesConfig!F$3:F$12,$B77)))&gt;0</f>
        <v>1</v>
      </c>
      <c r="M77" s="6" t="b">
        <f>SUMPRODUCT(--ISNUMBER(SEARCH(CategoriesConfig!G$3:G$12,$B77)))&gt;0</f>
        <v>0</v>
      </c>
      <c r="N77" s="6" t="b">
        <f>SUMPRODUCT(--ISNUMBER(SEARCH(CategoriesConfig!H$3:H$12,$B77)))&gt;0</f>
        <v>0</v>
      </c>
      <c r="O77" s="6" t="b">
        <f>SUMPRODUCT(--ISNUMBER(SEARCH(CategoriesConfig!I$3:I$12,$B77)))&gt;0</f>
        <v>0</v>
      </c>
      <c r="P77" s="22" t="b">
        <f t="shared" si="3"/>
        <v>0</v>
      </c>
      <c r="Q77" s="22">
        <f t="shared" si="5"/>
        <v>5</v>
      </c>
      <c r="R77" s="2"/>
      <c r="S77" s="6" t="str">
        <f t="shared" si="4"/>
        <v>F</v>
      </c>
    </row>
    <row r="78" spans="1:19" ht="13.5" thickBot="1" x14ac:dyDescent="0.25">
      <c r="A78" s="4">
        <f>DATEVALUE(DataIn!A98)</f>
        <v>42881</v>
      </c>
      <c r="B78" s="5" t="str">
        <f>DataIn!B98</f>
        <v>POS 512967XXXXXX4422 ZES*UBER INDIA S POS DEBIT</v>
      </c>
      <c r="C78" s="5" t="str">
        <f>DataIn!C98</f>
        <v>0000714660044428</v>
      </c>
      <c r="D78" s="5" t="str">
        <f>DataIn!D98</f>
        <v>26/05/17</v>
      </c>
      <c r="E78" s="5">
        <f>DataIn!E98</f>
        <v>154.25</v>
      </c>
      <c r="F78" s="5">
        <f>DataIn!F98</f>
        <v>0</v>
      </c>
      <c r="G78" s="5">
        <f>DataIn!G98</f>
        <v>112697.75</v>
      </c>
      <c r="H78" s="6" t="b">
        <f>SUMPRODUCT(--ISNUMBER(SEARCH(CategoriesConfig!B$3:B$12,$B78)))&gt;0</f>
        <v>0</v>
      </c>
      <c r="I78" s="6" t="b">
        <f>SUMPRODUCT(--ISNUMBER(SEARCH(CategoriesConfig!C$3:C$12,$B78)))&gt;0</f>
        <v>1</v>
      </c>
      <c r="J78" s="6" t="b">
        <f>SUMPRODUCT(--ISNUMBER(SEARCH(CategoriesConfig!D$3:D$12,$B78)))&gt;0</f>
        <v>0</v>
      </c>
      <c r="K78" s="6" t="b">
        <f>SUMPRODUCT(--ISNUMBER(SEARCH(CategoriesConfig!E$3:E$12,$B78)))&gt;0</f>
        <v>0</v>
      </c>
      <c r="L78" s="6" t="b">
        <f>SUMPRODUCT(--ISNUMBER(SEARCH(CategoriesConfig!F$3:F$12,$B78)))&gt;0</f>
        <v>0</v>
      </c>
      <c r="M78" s="6" t="b">
        <f>SUMPRODUCT(--ISNUMBER(SEARCH(CategoriesConfig!G$3:G$12,$B78)))&gt;0</f>
        <v>0</v>
      </c>
      <c r="N78" s="6" t="b">
        <f>SUMPRODUCT(--ISNUMBER(SEARCH(CategoriesConfig!H$3:H$12,$B78)))&gt;0</f>
        <v>0</v>
      </c>
      <c r="O78" s="6" t="b">
        <f>SUMPRODUCT(--ISNUMBER(SEARCH(CategoriesConfig!I$3:I$12,$B78)))&gt;0</f>
        <v>0</v>
      </c>
      <c r="P78" s="22" t="b">
        <f t="shared" si="3"/>
        <v>0</v>
      </c>
      <c r="Q78" s="22">
        <f t="shared" si="5"/>
        <v>5</v>
      </c>
      <c r="R78" s="2"/>
      <c r="S78" s="6" t="str">
        <f t="shared" si="4"/>
        <v>U</v>
      </c>
    </row>
    <row r="79" spans="1:19" ht="13.5" thickBot="1" x14ac:dyDescent="0.25">
      <c r="A79" s="4">
        <f>DATEVALUE(DataIn!A99)</f>
        <v>42881</v>
      </c>
      <c r="B79" s="5" t="str">
        <f>DataIn!B99</f>
        <v>POS 512967XXXXXX4422 ZES*UBER INDIA S POS DEBIT</v>
      </c>
      <c r="C79" s="5" t="str">
        <f>DataIn!C99</f>
        <v>0000714600031599</v>
      </c>
      <c r="D79" s="5" t="str">
        <f>DataIn!D99</f>
        <v>26/05/17</v>
      </c>
      <c r="E79" s="5">
        <f>DataIn!E99</f>
        <v>84.86</v>
      </c>
      <c r="F79" s="5">
        <f>DataIn!F99</f>
        <v>0</v>
      </c>
      <c r="G79" s="5">
        <f>DataIn!G99</f>
        <v>112612.89</v>
      </c>
      <c r="H79" s="6" t="b">
        <f>SUMPRODUCT(--ISNUMBER(SEARCH(CategoriesConfig!B$3:B$12,$B79)))&gt;0</f>
        <v>0</v>
      </c>
      <c r="I79" s="6" t="b">
        <f>SUMPRODUCT(--ISNUMBER(SEARCH(CategoriesConfig!C$3:C$12,$B79)))&gt;0</f>
        <v>1</v>
      </c>
      <c r="J79" s="6" t="b">
        <f>SUMPRODUCT(--ISNUMBER(SEARCH(CategoriesConfig!D$3:D$12,$B79)))&gt;0</f>
        <v>0</v>
      </c>
      <c r="K79" s="6" t="b">
        <f>SUMPRODUCT(--ISNUMBER(SEARCH(CategoriesConfig!E$3:E$12,$B79)))&gt;0</f>
        <v>0</v>
      </c>
      <c r="L79" s="6" t="b">
        <f>SUMPRODUCT(--ISNUMBER(SEARCH(CategoriesConfig!F$3:F$12,$B79)))&gt;0</f>
        <v>0</v>
      </c>
      <c r="M79" s="6" t="b">
        <f>SUMPRODUCT(--ISNUMBER(SEARCH(CategoriesConfig!G$3:G$12,$B79)))&gt;0</f>
        <v>0</v>
      </c>
      <c r="N79" s="6" t="b">
        <f>SUMPRODUCT(--ISNUMBER(SEARCH(CategoriesConfig!H$3:H$12,$B79)))&gt;0</f>
        <v>0</v>
      </c>
      <c r="O79" s="6" t="b">
        <f>SUMPRODUCT(--ISNUMBER(SEARCH(CategoriesConfig!I$3:I$12,$B79)))&gt;0</f>
        <v>0</v>
      </c>
      <c r="P79" s="22" t="b">
        <f t="shared" si="3"/>
        <v>0</v>
      </c>
      <c r="Q79" s="22">
        <f t="shared" si="5"/>
        <v>5</v>
      </c>
      <c r="S79" s="6" t="str">
        <f t="shared" si="4"/>
        <v>U</v>
      </c>
    </row>
    <row r="80" spans="1:19" ht="13.5" thickBot="1" x14ac:dyDescent="0.25">
      <c r="A80" s="4">
        <f>DATEVALUE(DataIn!A100)</f>
        <v>42881</v>
      </c>
      <c r="B80" s="5" t="str">
        <f>DataIn!B100</f>
        <v>POS 512967XXXXXX4422 CELEBRATIONS, POS DEBIT</v>
      </c>
      <c r="C80" s="5" t="str">
        <f>DataIn!C100</f>
        <v>0000000000000382</v>
      </c>
      <c r="D80" s="5" t="str">
        <f>DataIn!D100</f>
        <v>26/05/17</v>
      </c>
      <c r="E80" s="5">
        <f>DataIn!E100</f>
        <v>50</v>
      </c>
      <c r="F80" s="5">
        <f>DataIn!F100</f>
        <v>0</v>
      </c>
      <c r="G80" s="5">
        <f>DataIn!G100</f>
        <v>112562.89</v>
      </c>
      <c r="H80" s="6" t="b">
        <f>SUMPRODUCT(--ISNUMBER(SEARCH(CategoriesConfig!B$3:B$12,$B80)))&gt;0</f>
        <v>0</v>
      </c>
      <c r="I80" s="6" t="b">
        <f>SUMPRODUCT(--ISNUMBER(SEARCH(CategoriesConfig!C$3:C$12,$B80)))&gt;0</f>
        <v>0</v>
      </c>
      <c r="J80" s="6" t="b">
        <f>SUMPRODUCT(--ISNUMBER(SEARCH(CategoriesConfig!D$3:D$12,$B80)))&gt;0</f>
        <v>1</v>
      </c>
      <c r="K80" s="6" t="b">
        <f>SUMPRODUCT(--ISNUMBER(SEARCH(CategoriesConfig!E$3:E$12,$B80)))&gt;0</f>
        <v>0</v>
      </c>
      <c r="L80" s="6" t="b">
        <f>SUMPRODUCT(--ISNUMBER(SEARCH(CategoriesConfig!F$3:F$12,$B80)))&gt;0</f>
        <v>0</v>
      </c>
      <c r="M80" s="6" t="b">
        <f>SUMPRODUCT(--ISNUMBER(SEARCH(CategoriesConfig!G$3:G$12,$B80)))&gt;0</f>
        <v>0</v>
      </c>
      <c r="N80" s="6" t="b">
        <f>SUMPRODUCT(--ISNUMBER(SEARCH(CategoriesConfig!H$3:H$12,$B80)))&gt;0</f>
        <v>0</v>
      </c>
      <c r="O80" s="6" t="b">
        <f>SUMPRODUCT(--ISNUMBER(SEARCH(CategoriesConfig!I$3:I$12,$B80)))&gt;0</f>
        <v>0</v>
      </c>
      <c r="P80" s="22" t="b">
        <f t="shared" si="3"/>
        <v>0</v>
      </c>
      <c r="Q80" s="22">
        <f t="shared" si="5"/>
        <v>5</v>
      </c>
      <c r="S80" s="6" t="str">
        <f t="shared" si="4"/>
        <v>L</v>
      </c>
    </row>
    <row r="81" spans="1:19" ht="13.5" thickBot="1" x14ac:dyDescent="0.25">
      <c r="A81" s="4">
        <f>DATEVALUE(DataIn!A101)</f>
        <v>42881</v>
      </c>
      <c r="B81" s="5" t="str">
        <f>DataIn!B101</f>
        <v>POS 512967XXXXXX4422 ZES*UBER INDIA S POS DEBIT</v>
      </c>
      <c r="C81" s="5" t="str">
        <f>DataIn!C101</f>
        <v>0000714660235167</v>
      </c>
      <c r="D81" s="5" t="str">
        <f>DataIn!D101</f>
        <v>26/05/17</v>
      </c>
      <c r="E81" s="5">
        <f>DataIn!E101</f>
        <v>187.41</v>
      </c>
      <c r="F81" s="5">
        <f>DataIn!F101</f>
        <v>0</v>
      </c>
      <c r="G81" s="5">
        <f>DataIn!G101</f>
        <v>112375.48</v>
      </c>
      <c r="H81" s="6" t="b">
        <f>SUMPRODUCT(--ISNUMBER(SEARCH(CategoriesConfig!B$3:B$12,$B81)))&gt;0</f>
        <v>0</v>
      </c>
      <c r="I81" s="6" t="b">
        <f>SUMPRODUCT(--ISNUMBER(SEARCH(CategoriesConfig!C$3:C$12,$B81)))&gt;0</f>
        <v>1</v>
      </c>
      <c r="J81" s="6" t="b">
        <f>SUMPRODUCT(--ISNUMBER(SEARCH(CategoriesConfig!D$3:D$12,$B81)))&gt;0</f>
        <v>0</v>
      </c>
      <c r="K81" s="6" t="b">
        <f>SUMPRODUCT(--ISNUMBER(SEARCH(CategoriesConfig!E$3:E$12,$B81)))&gt;0</f>
        <v>0</v>
      </c>
      <c r="L81" s="6" t="b">
        <f>SUMPRODUCT(--ISNUMBER(SEARCH(CategoriesConfig!F$3:F$12,$B81)))&gt;0</f>
        <v>0</v>
      </c>
      <c r="M81" s="6" t="b">
        <f>SUMPRODUCT(--ISNUMBER(SEARCH(CategoriesConfig!G$3:G$12,$B81)))&gt;0</f>
        <v>0</v>
      </c>
      <c r="N81" s="6" t="b">
        <f>SUMPRODUCT(--ISNUMBER(SEARCH(CategoriesConfig!H$3:H$12,$B81)))&gt;0</f>
        <v>0</v>
      </c>
      <c r="O81" s="6" t="b">
        <f>SUMPRODUCT(--ISNUMBER(SEARCH(CategoriesConfig!I$3:I$12,$B81)))&gt;0</f>
        <v>0</v>
      </c>
      <c r="P81" s="22" t="b">
        <f t="shared" si="3"/>
        <v>0</v>
      </c>
      <c r="Q81" s="22">
        <f t="shared" si="5"/>
        <v>5</v>
      </c>
      <c r="S81" s="6" t="str">
        <f t="shared" si="4"/>
        <v>U</v>
      </c>
    </row>
    <row r="82" spans="1:19" ht="13.5" thickBot="1" x14ac:dyDescent="0.25">
      <c r="A82" s="4">
        <f>DATEVALUE(DataIn!A102)</f>
        <v>42882</v>
      </c>
      <c r="B82" s="5" t="str">
        <f>DataIn!B102</f>
        <v>POS 512967XXXXXX4422 CAFE COFFEE DAY POS DEBIT</v>
      </c>
      <c r="C82" s="5" t="str">
        <f>DataIn!C102</f>
        <v>0000000000192221</v>
      </c>
      <c r="D82" s="5" t="str">
        <f>DataIn!D102</f>
        <v>27/05/17</v>
      </c>
      <c r="E82" s="5">
        <f>DataIn!E102</f>
        <v>133</v>
      </c>
      <c r="F82" s="5">
        <f>DataIn!F102</f>
        <v>0</v>
      </c>
      <c r="G82" s="5">
        <f>DataIn!G102</f>
        <v>112242.48</v>
      </c>
      <c r="H82" s="6" t="b">
        <f>SUMPRODUCT(--ISNUMBER(SEARCH(CategoriesConfig!B$3:B$12,$B82)))&gt;0</f>
        <v>0</v>
      </c>
      <c r="I82" s="6" t="b">
        <f>SUMPRODUCT(--ISNUMBER(SEARCH(CategoriesConfig!C$3:C$12,$B82)))&gt;0</f>
        <v>0</v>
      </c>
      <c r="J82" s="6" t="b">
        <f>SUMPRODUCT(--ISNUMBER(SEARCH(CategoriesConfig!D$3:D$12,$B82)))&gt;0</f>
        <v>0</v>
      </c>
      <c r="K82" s="6" t="b">
        <f>SUMPRODUCT(--ISNUMBER(SEARCH(CategoriesConfig!E$3:E$12,$B82)))&gt;0</f>
        <v>0</v>
      </c>
      <c r="L82" s="6" t="b">
        <f>SUMPRODUCT(--ISNUMBER(SEARCH(CategoriesConfig!F$3:F$12,$B82)))&gt;0</f>
        <v>1</v>
      </c>
      <c r="M82" s="6" t="b">
        <f>SUMPRODUCT(--ISNUMBER(SEARCH(CategoriesConfig!G$3:G$12,$B82)))&gt;0</f>
        <v>0</v>
      </c>
      <c r="N82" s="6" t="b">
        <f>SUMPRODUCT(--ISNUMBER(SEARCH(CategoriesConfig!H$3:H$12,$B82)))&gt;0</f>
        <v>0</v>
      </c>
      <c r="O82" s="6" t="b">
        <f>SUMPRODUCT(--ISNUMBER(SEARCH(CategoriesConfig!I$3:I$12,$B82)))&gt;0</f>
        <v>0</v>
      </c>
      <c r="P82" s="22" t="b">
        <f t="shared" si="3"/>
        <v>0</v>
      </c>
      <c r="Q82" s="22">
        <f t="shared" si="5"/>
        <v>5</v>
      </c>
      <c r="S82" s="6" t="str">
        <f t="shared" si="4"/>
        <v>F</v>
      </c>
    </row>
    <row r="83" spans="1:19" ht="13.5" thickBot="1" x14ac:dyDescent="0.25">
      <c r="A83" s="4">
        <f>DATEVALUE(DataIn!A103)</f>
        <v>42882</v>
      </c>
      <c r="B83" s="5" t="str">
        <f>DataIn!B103</f>
        <v>POS 512967XXXXXX4422 CAFE COFFEE DAY POS DEBIT</v>
      </c>
      <c r="C83" s="5" t="str">
        <f>DataIn!C103</f>
        <v>0000000000240298</v>
      </c>
      <c r="D83" s="5" t="str">
        <f>DataIn!D103</f>
        <v>27/05/17</v>
      </c>
      <c r="E83" s="5">
        <f>DataIn!E103</f>
        <v>129</v>
      </c>
      <c r="F83" s="5">
        <f>DataIn!F103</f>
        <v>0</v>
      </c>
      <c r="G83" s="5">
        <f>DataIn!G103</f>
        <v>112113.48</v>
      </c>
      <c r="H83" s="6" t="b">
        <f>SUMPRODUCT(--ISNUMBER(SEARCH(CategoriesConfig!B$3:B$12,$B83)))&gt;0</f>
        <v>0</v>
      </c>
      <c r="I83" s="6" t="b">
        <f>SUMPRODUCT(--ISNUMBER(SEARCH(CategoriesConfig!C$3:C$12,$B83)))&gt;0</f>
        <v>0</v>
      </c>
      <c r="J83" s="6" t="b">
        <f>SUMPRODUCT(--ISNUMBER(SEARCH(CategoriesConfig!D$3:D$12,$B83)))&gt;0</f>
        <v>0</v>
      </c>
      <c r="K83" s="6" t="b">
        <f>SUMPRODUCT(--ISNUMBER(SEARCH(CategoriesConfig!E$3:E$12,$B83)))&gt;0</f>
        <v>0</v>
      </c>
      <c r="L83" s="6" t="b">
        <f>SUMPRODUCT(--ISNUMBER(SEARCH(CategoriesConfig!F$3:F$12,$B83)))&gt;0</f>
        <v>1</v>
      </c>
      <c r="M83" s="6" t="b">
        <f>SUMPRODUCT(--ISNUMBER(SEARCH(CategoriesConfig!G$3:G$12,$B83)))&gt;0</f>
        <v>0</v>
      </c>
      <c r="N83" s="6" t="b">
        <f>SUMPRODUCT(--ISNUMBER(SEARCH(CategoriesConfig!H$3:H$12,$B83)))&gt;0</f>
        <v>0</v>
      </c>
      <c r="O83" s="6" t="b">
        <f>SUMPRODUCT(--ISNUMBER(SEARCH(CategoriesConfig!I$3:I$12,$B83)))&gt;0</f>
        <v>0</v>
      </c>
      <c r="P83" s="22" t="b">
        <f t="shared" si="3"/>
        <v>0</v>
      </c>
      <c r="Q83" s="22">
        <f t="shared" si="5"/>
        <v>5</v>
      </c>
      <c r="S83" s="6" t="str">
        <f t="shared" si="4"/>
        <v>F</v>
      </c>
    </row>
    <row r="84" spans="1:19" ht="13.5" thickBot="1" x14ac:dyDescent="0.25">
      <c r="A84" s="4">
        <f>DATEVALUE(DataIn!A104)</f>
        <v>42882</v>
      </c>
      <c r="B84" s="5" t="str">
        <f>DataIn!B104</f>
        <v>POS 512967XXXXXX4422 AMAZON POS DEBIT</v>
      </c>
      <c r="C84" s="5" t="str">
        <f>DataIn!C104</f>
        <v>0000IF5393048582</v>
      </c>
      <c r="D84" s="5" t="str">
        <f>DataIn!D104</f>
        <v>27/05/17</v>
      </c>
      <c r="E84" s="5">
        <f>DataIn!E104</f>
        <v>1015</v>
      </c>
      <c r="F84" s="5">
        <f>DataIn!F104</f>
        <v>0</v>
      </c>
      <c r="G84" s="5">
        <f>DataIn!G104</f>
        <v>111098.48</v>
      </c>
      <c r="H84" s="6" t="b">
        <f>SUMPRODUCT(--ISNUMBER(SEARCH(CategoriesConfig!B$3:B$12,$B84)))&gt;0</f>
        <v>0</v>
      </c>
      <c r="I84" s="6" t="b">
        <f>SUMPRODUCT(--ISNUMBER(SEARCH(CategoriesConfig!C$3:C$12,$B84)))&gt;0</f>
        <v>0</v>
      </c>
      <c r="J84" s="6" t="b">
        <f>SUMPRODUCT(--ISNUMBER(SEARCH(CategoriesConfig!D$3:D$12,$B84)))&gt;0</f>
        <v>0</v>
      </c>
      <c r="K84" s="6" t="b">
        <f>SUMPRODUCT(--ISNUMBER(SEARCH(CategoriesConfig!E$3:E$12,$B84)))&gt;0</f>
        <v>0</v>
      </c>
      <c r="L84" s="6" t="b">
        <f>SUMPRODUCT(--ISNUMBER(SEARCH(CategoriesConfig!F$3:F$12,$B84)))&gt;0</f>
        <v>0</v>
      </c>
      <c r="M84" s="6" t="b">
        <f>SUMPRODUCT(--ISNUMBER(SEARCH(CategoriesConfig!G$3:G$12,$B84)))&gt;0</f>
        <v>0</v>
      </c>
      <c r="N84" s="6" t="b">
        <f>SUMPRODUCT(--ISNUMBER(SEARCH(CategoriesConfig!H$3:H$12,$B84)))&gt;0</f>
        <v>0</v>
      </c>
      <c r="O84" s="6" t="b">
        <f>SUMPRODUCT(--ISNUMBER(SEARCH(CategoriesConfig!I$3:I$12,$B84)))&gt;0</f>
        <v>0</v>
      </c>
      <c r="P84" s="22" t="b">
        <f t="shared" si="3"/>
        <v>1</v>
      </c>
      <c r="Q84" s="22">
        <f t="shared" si="5"/>
        <v>5</v>
      </c>
      <c r="R84" s="2" t="s">
        <v>223</v>
      </c>
      <c r="S84" s="6" t="str">
        <f t="shared" si="4"/>
        <v>M</v>
      </c>
    </row>
    <row r="85" spans="1:19" ht="13.5" thickBot="1" x14ac:dyDescent="0.25">
      <c r="A85" s="4">
        <f>DATEVALUE(DataIn!A105)</f>
        <v>42883</v>
      </c>
      <c r="B85" s="5" t="str">
        <f>DataIn!B105</f>
        <v>POS 512967XXXXXX4422 ZES*UBER INDIA S POS DEBIT</v>
      </c>
      <c r="C85" s="5" t="str">
        <f>DataIn!C105</f>
        <v>0000714840219638</v>
      </c>
      <c r="D85" s="5" t="str">
        <f>DataIn!D105</f>
        <v>28/05/17</v>
      </c>
      <c r="E85" s="5">
        <f>DataIn!E105</f>
        <v>102.3</v>
      </c>
      <c r="F85" s="5">
        <f>DataIn!F105</f>
        <v>0</v>
      </c>
      <c r="G85" s="5">
        <f>DataIn!G105</f>
        <v>110996.18</v>
      </c>
      <c r="H85" s="6" t="b">
        <f>SUMPRODUCT(--ISNUMBER(SEARCH(CategoriesConfig!B$3:B$12,$B85)))&gt;0</f>
        <v>0</v>
      </c>
      <c r="I85" s="6" t="b">
        <f>SUMPRODUCT(--ISNUMBER(SEARCH(CategoriesConfig!C$3:C$12,$B85)))&gt;0</f>
        <v>1</v>
      </c>
      <c r="J85" s="6" t="b">
        <f>SUMPRODUCT(--ISNUMBER(SEARCH(CategoriesConfig!D$3:D$12,$B85)))&gt;0</f>
        <v>0</v>
      </c>
      <c r="K85" s="6" t="b">
        <f>SUMPRODUCT(--ISNUMBER(SEARCH(CategoriesConfig!E$3:E$12,$B85)))&gt;0</f>
        <v>0</v>
      </c>
      <c r="L85" s="6" t="b">
        <f>SUMPRODUCT(--ISNUMBER(SEARCH(CategoriesConfig!F$3:F$12,$B85)))&gt;0</f>
        <v>0</v>
      </c>
      <c r="M85" s="6" t="b">
        <f>SUMPRODUCT(--ISNUMBER(SEARCH(CategoriesConfig!G$3:G$12,$B85)))&gt;0</f>
        <v>0</v>
      </c>
      <c r="N85" s="6" t="b">
        <f>SUMPRODUCT(--ISNUMBER(SEARCH(CategoriesConfig!H$3:H$12,$B85)))&gt;0</f>
        <v>0</v>
      </c>
      <c r="O85" s="6" t="b">
        <f>SUMPRODUCT(--ISNUMBER(SEARCH(CategoriesConfig!I$3:I$12,$B85)))&gt;0</f>
        <v>0</v>
      </c>
      <c r="P85" s="22" t="b">
        <f t="shared" si="3"/>
        <v>0</v>
      </c>
      <c r="Q85" s="22">
        <f t="shared" si="5"/>
        <v>5</v>
      </c>
      <c r="R85" s="2"/>
      <c r="S85" s="6" t="str">
        <f t="shared" si="4"/>
        <v>U</v>
      </c>
    </row>
    <row r="86" spans="1:19" ht="13.5" thickBot="1" x14ac:dyDescent="0.25">
      <c r="A86" s="4">
        <f>DATEVALUE(DataIn!A106)</f>
        <v>42883</v>
      </c>
      <c r="B86" s="5" t="str">
        <f>DataIn!B106</f>
        <v>POS 512967XXXXXX4422 THE HUMMING TREE POS DEBIT</v>
      </c>
      <c r="C86" s="5" t="str">
        <f>DataIn!C106</f>
        <v>0000000000001013</v>
      </c>
      <c r="D86" s="5" t="str">
        <f>DataIn!D106</f>
        <v>28/05/17</v>
      </c>
      <c r="E86" s="5">
        <f>DataIn!E106</f>
        <v>964</v>
      </c>
      <c r="F86" s="5">
        <f>DataIn!F106</f>
        <v>0</v>
      </c>
      <c r="G86" s="5">
        <f>DataIn!G106</f>
        <v>110032.18</v>
      </c>
      <c r="H86" s="6" t="b">
        <f>SUMPRODUCT(--ISNUMBER(SEARCH(CategoriesConfig!B$3:B$12,$B86)))&gt;0</f>
        <v>0</v>
      </c>
      <c r="I86" s="6" t="b">
        <f>SUMPRODUCT(--ISNUMBER(SEARCH(CategoriesConfig!C$3:C$12,$B86)))&gt;0</f>
        <v>0</v>
      </c>
      <c r="J86" s="6" t="b">
        <f>SUMPRODUCT(--ISNUMBER(SEARCH(CategoriesConfig!D$3:D$12,$B86)))&gt;0</f>
        <v>0</v>
      </c>
      <c r="K86" s="6" t="b">
        <f>SUMPRODUCT(--ISNUMBER(SEARCH(CategoriesConfig!E$3:E$12,$B86)))&gt;0</f>
        <v>0</v>
      </c>
      <c r="L86" s="6" t="b">
        <f>SUMPRODUCT(--ISNUMBER(SEARCH(CategoriesConfig!F$3:F$12,$B86)))&gt;0</f>
        <v>0</v>
      </c>
      <c r="M86" s="6" t="b">
        <f>SUMPRODUCT(--ISNUMBER(SEARCH(CategoriesConfig!G$3:G$12,$B86)))&gt;0</f>
        <v>0</v>
      </c>
      <c r="N86" s="6" t="b">
        <f>SUMPRODUCT(--ISNUMBER(SEARCH(CategoriesConfig!H$3:H$12,$B86)))&gt;0</f>
        <v>0</v>
      </c>
      <c r="O86" s="6" t="b">
        <f>SUMPRODUCT(--ISNUMBER(SEARCH(CategoriesConfig!I$3:I$12,$B86)))&gt;0</f>
        <v>0</v>
      </c>
      <c r="P86" s="22" t="b">
        <f t="shared" si="3"/>
        <v>1</v>
      </c>
      <c r="Q86" s="22">
        <f t="shared" si="5"/>
        <v>5</v>
      </c>
      <c r="R86" s="2" t="s">
        <v>221</v>
      </c>
      <c r="S86" s="6" t="str">
        <f t="shared" si="4"/>
        <v>F</v>
      </c>
    </row>
    <row r="87" spans="1:19" ht="13.5" thickBot="1" x14ac:dyDescent="0.25">
      <c r="A87" s="4">
        <f>DATEVALUE(DataIn!A107)</f>
        <v>42884</v>
      </c>
      <c r="B87" s="5" t="str">
        <f>DataIn!B107</f>
        <v>POS 512967XXXXXX4422 ZES*UBER INDIA S POS DEBIT</v>
      </c>
      <c r="C87" s="5" t="str">
        <f>DataIn!C107</f>
        <v>0000714900024471</v>
      </c>
      <c r="D87" s="5" t="str">
        <f>DataIn!D107</f>
        <v>29/05/17</v>
      </c>
      <c r="E87" s="5">
        <f>DataIn!E107</f>
        <v>89.01</v>
      </c>
      <c r="F87" s="5">
        <f>DataIn!F107</f>
        <v>0</v>
      </c>
      <c r="G87" s="5">
        <f>DataIn!G107</f>
        <v>109943.17</v>
      </c>
      <c r="H87" s="6" t="b">
        <f>SUMPRODUCT(--ISNUMBER(SEARCH(CategoriesConfig!B$3:B$12,$B87)))&gt;0</f>
        <v>0</v>
      </c>
      <c r="I87" s="6" t="b">
        <f>SUMPRODUCT(--ISNUMBER(SEARCH(CategoriesConfig!C$3:C$12,$B87)))&gt;0</f>
        <v>1</v>
      </c>
      <c r="J87" s="6" t="b">
        <f>SUMPRODUCT(--ISNUMBER(SEARCH(CategoriesConfig!D$3:D$12,$B87)))&gt;0</f>
        <v>0</v>
      </c>
      <c r="K87" s="6" t="b">
        <f>SUMPRODUCT(--ISNUMBER(SEARCH(CategoriesConfig!E$3:E$12,$B87)))&gt;0</f>
        <v>0</v>
      </c>
      <c r="L87" s="6" t="b">
        <f>SUMPRODUCT(--ISNUMBER(SEARCH(CategoriesConfig!F$3:F$12,$B87)))&gt;0</f>
        <v>0</v>
      </c>
      <c r="M87" s="6" t="b">
        <f>SUMPRODUCT(--ISNUMBER(SEARCH(CategoriesConfig!G$3:G$12,$B87)))&gt;0</f>
        <v>0</v>
      </c>
      <c r="N87" s="6" t="b">
        <f>SUMPRODUCT(--ISNUMBER(SEARCH(CategoriesConfig!H$3:H$12,$B87)))&gt;0</f>
        <v>0</v>
      </c>
      <c r="O87" s="6" t="b">
        <f>SUMPRODUCT(--ISNUMBER(SEARCH(CategoriesConfig!I$3:I$12,$B87)))&gt;0</f>
        <v>0</v>
      </c>
      <c r="P87" s="22" t="b">
        <f t="shared" si="3"/>
        <v>0</v>
      </c>
      <c r="Q87" s="22">
        <f t="shared" si="5"/>
        <v>5</v>
      </c>
      <c r="S87" s="6" t="str">
        <f t="shared" si="4"/>
        <v>U</v>
      </c>
    </row>
    <row r="88" spans="1:19" ht="13.5" thickBot="1" x14ac:dyDescent="0.25">
      <c r="A88" s="4">
        <f>DATEVALUE(DataIn!A108)</f>
        <v>42884</v>
      </c>
      <c r="B88" s="5" t="str">
        <f>DataIn!B108</f>
        <v>POS 512967XXXXXX4422 BANGALORE METRO POS DEBIT</v>
      </c>
      <c r="C88" s="5" t="str">
        <f>DataIn!C108</f>
        <v>0000000000733125</v>
      </c>
      <c r="D88" s="5" t="str">
        <f>DataIn!D108</f>
        <v>29/05/17</v>
      </c>
      <c r="E88" s="5">
        <f>DataIn!E108</f>
        <v>500</v>
      </c>
      <c r="F88" s="5">
        <f>DataIn!F108</f>
        <v>0</v>
      </c>
      <c r="G88" s="5">
        <f>DataIn!G108</f>
        <v>109443.17</v>
      </c>
      <c r="H88" s="6" t="b">
        <f>SUMPRODUCT(--ISNUMBER(SEARCH(CategoriesConfig!B$3:B$12,$B88)))&gt;0</f>
        <v>0</v>
      </c>
      <c r="I88" s="6" t="b">
        <f>SUMPRODUCT(--ISNUMBER(SEARCH(CategoriesConfig!C$3:C$12,$B88)))&gt;0</f>
        <v>1</v>
      </c>
      <c r="J88" s="6" t="b">
        <f>SUMPRODUCT(--ISNUMBER(SEARCH(CategoriesConfig!D$3:D$12,$B88)))&gt;0</f>
        <v>0</v>
      </c>
      <c r="K88" s="6" t="b">
        <f>SUMPRODUCT(--ISNUMBER(SEARCH(CategoriesConfig!E$3:E$12,$B88)))&gt;0</f>
        <v>0</v>
      </c>
      <c r="L88" s="6" t="b">
        <f>SUMPRODUCT(--ISNUMBER(SEARCH(CategoriesConfig!F$3:F$12,$B88)))&gt;0</f>
        <v>0</v>
      </c>
      <c r="M88" s="6" t="b">
        <f>SUMPRODUCT(--ISNUMBER(SEARCH(CategoriesConfig!G$3:G$12,$B88)))&gt;0</f>
        <v>0</v>
      </c>
      <c r="N88" s="6" t="b">
        <f>SUMPRODUCT(--ISNUMBER(SEARCH(CategoriesConfig!H$3:H$12,$B88)))&gt;0</f>
        <v>0</v>
      </c>
      <c r="O88" s="6" t="b">
        <f>SUMPRODUCT(--ISNUMBER(SEARCH(CategoriesConfig!I$3:I$12,$B88)))&gt;0</f>
        <v>0</v>
      </c>
      <c r="P88" s="22" t="b">
        <f t="shared" si="3"/>
        <v>0</v>
      </c>
      <c r="Q88" s="22">
        <f t="shared" si="5"/>
        <v>5</v>
      </c>
      <c r="S88" s="6" t="str">
        <f t="shared" si="4"/>
        <v>U</v>
      </c>
    </row>
    <row r="89" spans="1:19" ht="13.5" thickBot="1" x14ac:dyDescent="0.25">
      <c r="A89" s="4">
        <f>DATEVALUE(DataIn!A109)</f>
        <v>42884</v>
      </c>
      <c r="B89" s="5" t="str">
        <f>DataIn!B109</f>
        <v>POS 512967XXXXXX4422 ZES*UBER INDIA S POS DEBIT</v>
      </c>
      <c r="C89" s="5" t="str">
        <f>DataIn!C109</f>
        <v>0000714940225870</v>
      </c>
      <c r="D89" s="5" t="str">
        <f>DataIn!D109</f>
        <v>29/05/17</v>
      </c>
      <c r="E89" s="5">
        <f>DataIn!E109</f>
        <v>171.19</v>
      </c>
      <c r="F89" s="5">
        <f>DataIn!F109</f>
        <v>0</v>
      </c>
      <c r="G89" s="5">
        <f>DataIn!G109</f>
        <v>109271.98</v>
      </c>
      <c r="H89" s="6" t="b">
        <f>SUMPRODUCT(--ISNUMBER(SEARCH(CategoriesConfig!B$3:B$12,$B89)))&gt;0</f>
        <v>0</v>
      </c>
      <c r="I89" s="6" t="b">
        <f>SUMPRODUCT(--ISNUMBER(SEARCH(CategoriesConfig!C$3:C$12,$B89)))&gt;0</f>
        <v>1</v>
      </c>
      <c r="J89" s="6" t="b">
        <f>SUMPRODUCT(--ISNUMBER(SEARCH(CategoriesConfig!D$3:D$12,$B89)))&gt;0</f>
        <v>0</v>
      </c>
      <c r="K89" s="6" t="b">
        <f>SUMPRODUCT(--ISNUMBER(SEARCH(CategoriesConfig!E$3:E$12,$B89)))&gt;0</f>
        <v>0</v>
      </c>
      <c r="L89" s="6" t="b">
        <f>SUMPRODUCT(--ISNUMBER(SEARCH(CategoriesConfig!F$3:F$12,$B89)))&gt;0</f>
        <v>0</v>
      </c>
      <c r="M89" s="6" t="b">
        <f>SUMPRODUCT(--ISNUMBER(SEARCH(CategoriesConfig!G$3:G$12,$B89)))&gt;0</f>
        <v>0</v>
      </c>
      <c r="N89" s="6" t="b">
        <f>SUMPRODUCT(--ISNUMBER(SEARCH(CategoriesConfig!H$3:H$12,$B89)))&gt;0</f>
        <v>0</v>
      </c>
      <c r="O89" s="6" t="b">
        <f>SUMPRODUCT(--ISNUMBER(SEARCH(CategoriesConfig!I$3:I$12,$B89)))&gt;0</f>
        <v>0</v>
      </c>
      <c r="P89" s="22" t="b">
        <f t="shared" si="3"/>
        <v>0</v>
      </c>
      <c r="Q89" s="22">
        <f t="shared" si="5"/>
        <v>5</v>
      </c>
      <c r="S89" s="6" t="str">
        <f t="shared" si="4"/>
        <v>U</v>
      </c>
    </row>
    <row r="90" spans="1:19" ht="13.5" thickBot="1" x14ac:dyDescent="0.25">
      <c r="A90" s="4">
        <f>DATEVALUE(DataIn!A110)</f>
        <v>42885</v>
      </c>
      <c r="B90" s="5" t="str">
        <f>DataIn!B110</f>
        <v>POS 512967XXXXXX4422 ZES*UBER INDIA S POS DEBIT</v>
      </c>
      <c r="C90" s="5" t="str">
        <f>DataIn!C110</f>
        <v>0000715000021351</v>
      </c>
      <c r="D90" s="5" t="str">
        <f>DataIn!D110</f>
        <v>30/05/17</v>
      </c>
      <c r="E90" s="5">
        <f>DataIn!E110</f>
        <v>50</v>
      </c>
      <c r="F90" s="5">
        <f>DataIn!F110</f>
        <v>0</v>
      </c>
      <c r="G90" s="5">
        <f>DataIn!G110</f>
        <v>109221.98</v>
      </c>
      <c r="H90" s="6" t="b">
        <f>SUMPRODUCT(--ISNUMBER(SEARCH(CategoriesConfig!B$3:B$12,$B90)))&gt;0</f>
        <v>0</v>
      </c>
      <c r="I90" s="6" t="b">
        <f>SUMPRODUCT(--ISNUMBER(SEARCH(CategoriesConfig!C$3:C$12,$B90)))&gt;0</f>
        <v>1</v>
      </c>
      <c r="J90" s="6" t="b">
        <f>SUMPRODUCT(--ISNUMBER(SEARCH(CategoriesConfig!D$3:D$12,$B90)))&gt;0</f>
        <v>0</v>
      </c>
      <c r="K90" s="6" t="b">
        <f>SUMPRODUCT(--ISNUMBER(SEARCH(CategoriesConfig!E$3:E$12,$B90)))&gt;0</f>
        <v>0</v>
      </c>
      <c r="L90" s="6" t="b">
        <f>SUMPRODUCT(--ISNUMBER(SEARCH(CategoriesConfig!F$3:F$12,$B90)))&gt;0</f>
        <v>0</v>
      </c>
      <c r="M90" s="6" t="b">
        <f>SUMPRODUCT(--ISNUMBER(SEARCH(CategoriesConfig!G$3:G$12,$B90)))&gt;0</f>
        <v>0</v>
      </c>
      <c r="N90" s="6" t="b">
        <f>SUMPRODUCT(--ISNUMBER(SEARCH(CategoriesConfig!H$3:H$12,$B90)))&gt;0</f>
        <v>0</v>
      </c>
      <c r="O90" s="6" t="b">
        <f>SUMPRODUCT(--ISNUMBER(SEARCH(CategoriesConfig!I$3:I$12,$B90)))&gt;0</f>
        <v>0</v>
      </c>
      <c r="P90" s="22" t="b">
        <f t="shared" si="3"/>
        <v>0</v>
      </c>
      <c r="Q90" s="22">
        <f t="shared" si="5"/>
        <v>5</v>
      </c>
      <c r="R90" s="2"/>
      <c r="S90" s="6" t="str">
        <f t="shared" si="4"/>
        <v>U</v>
      </c>
    </row>
    <row r="91" spans="1:19" ht="13.5" thickBot="1" x14ac:dyDescent="0.25">
      <c r="A91" s="4">
        <f>DATEVALUE(DataIn!A111)</f>
        <v>42885</v>
      </c>
      <c r="B91" s="5" t="str">
        <f>DataIn!B111</f>
        <v>POS 512967XXXXXX4422 CELEBRATIONS, POS DEBIT</v>
      </c>
      <c r="C91" s="5" t="str">
        <f>DataIn!C111</f>
        <v>0000000000010799</v>
      </c>
      <c r="D91" s="5" t="str">
        <f>DataIn!D111</f>
        <v>30/05/17</v>
      </c>
      <c r="E91" s="5">
        <f>DataIn!E111</f>
        <v>75</v>
      </c>
      <c r="F91" s="5">
        <f>DataIn!F111</f>
        <v>0</v>
      </c>
      <c r="G91" s="5">
        <f>DataIn!G111</f>
        <v>109146.98</v>
      </c>
      <c r="H91" s="6" t="b">
        <f>SUMPRODUCT(--ISNUMBER(SEARCH(CategoriesConfig!B$3:B$12,$B91)))&gt;0</f>
        <v>0</v>
      </c>
      <c r="I91" s="6" t="b">
        <f>SUMPRODUCT(--ISNUMBER(SEARCH(CategoriesConfig!C$3:C$12,$B91)))&gt;0</f>
        <v>0</v>
      </c>
      <c r="J91" s="6" t="b">
        <f>SUMPRODUCT(--ISNUMBER(SEARCH(CategoriesConfig!D$3:D$12,$B91)))&gt;0</f>
        <v>1</v>
      </c>
      <c r="K91" s="6" t="b">
        <f>SUMPRODUCT(--ISNUMBER(SEARCH(CategoriesConfig!E$3:E$12,$B91)))&gt;0</f>
        <v>0</v>
      </c>
      <c r="L91" s="6" t="b">
        <f>SUMPRODUCT(--ISNUMBER(SEARCH(CategoriesConfig!F$3:F$12,$B91)))&gt;0</f>
        <v>0</v>
      </c>
      <c r="M91" s="6" t="b">
        <f>SUMPRODUCT(--ISNUMBER(SEARCH(CategoriesConfig!G$3:G$12,$B91)))&gt;0</f>
        <v>0</v>
      </c>
      <c r="N91" s="6" t="b">
        <f>SUMPRODUCT(--ISNUMBER(SEARCH(CategoriesConfig!H$3:H$12,$B91)))&gt;0</f>
        <v>0</v>
      </c>
      <c r="O91" s="6" t="b">
        <f>SUMPRODUCT(--ISNUMBER(SEARCH(CategoriesConfig!I$3:I$12,$B91)))&gt;0</f>
        <v>0</v>
      </c>
      <c r="P91" s="22" t="b">
        <f t="shared" si="3"/>
        <v>0</v>
      </c>
      <c r="Q91" s="22">
        <f t="shared" si="5"/>
        <v>5</v>
      </c>
      <c r="S91" s="6" t="str">
        <f t="shared" si="4"/>
        <v>L</v>
      </c>
    </row>
    <row r="92" spans="1:19" ht="13.5" thickBot="1" x14ac:dyDescent="0.25">
      <c r="A92" s="4">
        <f>DATEVALUE(DataIn!A112)</f>
        <v>42886</v>
      </c>
      <c r="B92" s="5" t="str">
        <f>DataIn!B112</f>
        <v>POS 512967XXXXXX4422 ZES*UBER INDIA S POS DEBIT</v>
      </c>
      <c r="C92" s="5" t="str">
        <f>DataIn!C112</f>
        <v>0000715160023538</v>
      </c>
      <c r="D92" s="5" t="str">
        <f>DataIn!D112</f>
        <v>31/05/17</v>
      </c>
      <c r="E92" s="5">
        <f>DataIn!E112</f>
        <v>110.1</v>
      </c>
      <c r="F92" s="5">
        <f>DataIn!F112</f>
        <v>0</v>
      </c>
      <c r="G92" s="5">
        <f>DataIn!G112</f>
        <v>109036.88</v>
      </c>
      <c r="H92" s="6" t="b">
        <f>SUMPRODUCT(--ISNUMBER(SEARCH(CategoriesConfig!B$3:B$12,$B92)))&gt;0</f>
        <v>0</v>
      </c>
      <c r="I92" s="6" t="b">
        <f>SUMPRODUCT(--ISNUMBER(SEARCH(CategoriesConfig!C$3:C$12,$B92)))&gt;0</f>
        <v>1</v>
      </c>
      <c r="J92" s="6" t="b">
        <f>SUMPRODUCT(--ISNUMBER(SEARCH(CategoriesConfig!D$3:D$12,$B92)))&gt;0</f>
        <v>0</v>
      </c>
      <c r="K92" s="6" t="b">
        <f>SUMPRODUCT(--ISNUMBER(SEARCH(CategoriesConfig!E$3:E$12,$B92)))&gt;0</f>
        <v>0</v>
      </c>
      <c r="L92" s="6" t="b">
        <f>SUMPRODUCT(--ISNUMBER(SEARCH(CategoriesConfig!F$3:F$12,$B92)))&gt;0</f>
        <v>0</v>
      </c>
      <c r="M92" s="6" t="b">
        <f>SUMPRODUCT(--ISNUMBER(SEARCH(CategoriesConfig!G$3:G$12,$B92)))&gt;0</f>
        <v>0</v>
      </c>
      <c r="N92" s="6" t="b">
        <f>SUMPRODUCT(--ISNUMBER(SEARCH(CategoriesConfig!H$3:H$12,$B92)))&gt;0</f>
        <v>0</v>
      </c>
      <c r="O92" s="6" t="b">
        <f>SUMPRODUCT(--ISNUMBER(SEARCH(CategoriesConfig!I$3:I$12,$B92)))&gt;0</f>
        <v>0</v>
      </c>
      <c r="P92" s="22" t="b">
        <f t="shared" si="3"/>
        <v>0</v>
      </c>
      <c r="Q92" s="22">
        <f t="shared" si="5"/>
        <v>5</v>
      </c>
      <c r="S92" s="6" t="str">
        <f t="shared" si="4"/>
        <v>U</v>
      </c>
    </row>
    <row r="93" spans="1:19" ht="13.5" thickBot="1" x14ac:dyDescent="0.25">
      <c r="A93" s="4">
        <f>DATEVALUE(DataIn!A113)</f>
        <v>42886</v>
      </c>
      <c r="B93" s="5" t="str">
        <f>DataIn!B113</f>
        <v>POS 512967XXXXXX4422 CELEBRATIONS, POS DEBIT</v>
      </c>
      <c r="C93" s="5" t="str">
        <f>DataIn!C113</f>
        <v>0000000000001905</v>
      </c>
      <c r="D93" s="5" t="str">
        <f>DataIn!D113</f>
        <v>31/05/17</v>
      </c>
      <c r="E93" s="5">
        <f>DataIn!E113</f>
        <v>75</v>
      </c>
      <c r="F93" s="5">
        <f>DataIn!F113</f>
        <v>0</v>
      </c>
      <c r="G93" s="5">
        <f>DataIn!G113</f>
        <v>108961.88</v>
      </c>
      <c r="H93" s="6" t="b">
        <f>SUMPRODUCT(--ISNUMBER(SEARCH(CategoriesConfig!B$3:B$12,$B93)))&gt;0</f>
        <v>0</v>
      </c>
      <c r="I93" s="6" t="b">
        <f>SUMPRODUCT(--ISNUMBER(SEARCH(CategoriesConfig!C$3:C$12,$B93)))&gt;0</f>
        <v>0</v>
      </c>
      <c r="J93" s="6" t="b">
        <f>SUMPRODUCT(--ISNUMBER(SEARCH(CategoriesConfig!D$3:D$12,$B93)))&gt;0</f>
        <v>1</v>
      </c>
      <c r="K93" s="6" t="b">
        <f>SUMPRODUCT(--ISNUMBER(SEARCH(CategoriesConfig!E$3:E$12,$B93)))&gt;0</f>
        <v>0</v>
      </c>
      <c r="L93" s="6" t="b">
        <f>SUMPRODUCT(--ISNUMBER(SEARCH(CategoriesConfig!F$3:F$12,$B93)))&gt;0</f>
        <v>0</v>
      </c>
      <c r="M93" s="6" t="b">
        <f>SUMPRODUCT(--ISNUMBER(SEARCH(CategoriesConfig!G$3:G$12,$B93)))&gt;0</f>
        <v>0</v>
      </c>
      <c r="N93" s="6" t="b">
        <f>SUMPRODUCT(--ISNUMBER(SEARCH(CategoriesConfig!H$3:H$12,$B93)))&gt;0</f>
        <v>0</v>
      </c>
      <c r="O93" s="6" t="b">
        <f>SUMPRODUCT(--ISNUMBER(SEARCH(CategoriesConfig!I$3:I$12,$B93)))&gt;0</f>
        <v>0</v>
      </c>
      <c r="P93" s="22" t="b">
        <f t="shared" si="3"/>
        <v>0</v>
      </c>
      <c r="Q93" s="22">
        <f t="shared" si="5"/>
        <v>5</v>
      </c>
      <c r="S93" s="6" t="str">
        <f t="shared" si="4"/>
        <v>L</v>
      </c>
    </row>
    <row r="94" spans="1:19" ht="13.5" thickBot="1" x14ac:dyDescent="0.25">
      <c r="A94" s="4">
        <f>DATEVALUE(DataIn!A114)</f>
        <v>42886</v>
      </c>
      <c r="B94" s="5" t="str">
        <f>DataIn!B114</f>
        <v>POS 512967XXXXXX4422 ARBOR BREWPUB POS DEBIT</v>
      </c>
      <c r="C94" s="5" t="str">
        <f>DataIn!C114</f>
        <v>0000000000015101</v>
      </c>
      <c r="D94" s="5" t="str">
        <f>DataIn!D114</f>
        <v>31/05/17</v>
      </c>
      <c r="E94" s="5">
        <f>DataIn!E114</f>
        <v>404</v>
      </c>
      <c r="F94" s="5">
        <f>DataIn!F114</f>
        <v>0</v>
      </c>
      <c r="G94" s="5">
        <f>DataIn!G114</f>
        <v>108557.88</v>
      </c>
      <c r="H94" s="6" t="b">
        <f>SUMPRODUCT(--ISNUMBER(SEARCH(CategoriesConfig!B$3:B$12,$B94)))&gt;0</f>
        <v>0</v>
      </c>
      <c r="I94" s="6" t="b">
        <f>SUMPRODUCT(--ISNUMBER(SEARCH(CategoriesConfig!C$3:C$12,$B94)))&gt;0</f>
        <v>0</v>
      </c>
      <c r="J94" s="6" t="b">
        <f>SUMPRODUCT(--ISNUMBER(SEARCH(CategoriesConfig!D$3:D$12,$B94)))&gt;0</f>
        <v>0</v>
      </c>
      <c r="K94" s="6" t="b">
        <f>SUMPRODUCT(--ISNUMBER(SEARCH(CategoriesConfig!E$3:E$12,$B94)))&gt;0</f>
        <v>0</v>
      </c>
      <c r="L94" s="6" t="b">
        <f>SUMPRODUCT(--ISNUMBER(SEARCH(CategoriesConfig!F$3:F$12,$B94)))&gt;0</f>
        <v>1</v>
      </c>
      <c r="M94" s="6" t="b">
        <f>SUMPRODUCT(--ISNUMBER(SEARCH(CategoriesConfig!G$3:G$12,$B94)))&gt;0</f>
        <v>0</v>
      </c>
      <c r="N94" s="6" t="b">
        <f>SUMPRODUCT(--ISNUMBER(SEARCH(CategoriesConfig!H$3:H$12,$B94)))&gt;0</f>
        <v>0</v>
      </c>
      <c r="O94" s="6" t="b">
        <f>SUMPRODUCT(--ISNUMBER(SEARCH(CategoriesConfig!I$3:I$12,$B94)))&gt;0</f>
        <v>0</v>
      </c>
      <c r="P94" s="22" t="b">
        <f t="shared" si="3"/>
        <v>0</v>
      </c>
      <c r="Q94" s="22">
        <f t="shared" si="5"/>
        <v>5</v>
      </c>
      <c r="S94" s="6" t="str">
        <f t="shared" si="4"/>
        <v>F</v>
      </c>
    </row>
    <row r="95" spans="1:19" ht="13.5" thickBot="1" x14ac:dyDescent="0.25">
      <c r="A95" s="4">
        <f>DATEVALUE(DataIn!A115)</f>
        <v>42886</v>
      </c>
      <c r="B95" s="5" t="str">
        <f>DataIn!B115</f>
        <v>POS 512967XXXXXX4422 ARBOR BREWPUB POS DEBIT</v>
      </c>
      <c r="C95" s="5" t="str">
        <f>DataIn!C115</f>
        <v>0000000000022430</v>
      </c>
      <c r="D95" s="5" t="str">
        <f>DataIn!D115</f>
        <v>01/06/17</v>
      </c>
      <c r="E95" s="5">
        <f>DataIn!E115</f>
        <v>265</v>
      </c>
      <c r="F95" s="5">
        <f>DataIn!F115</f>
        <v>0</v>
      </c>
      <c r="G95" s="5">
        <f>DataIn!G115</f>
        <v>108292.88</v>
      </c>
      <c r="H95" s="6" t="b">
        <f>SUMPRODUCT(--ISNUMBER(SEARCH(CategoriesConfig!B$3:B$12,$B95)))&gt;0</f>
        <v>0</v>
      </c>
      <c r="I95" s="6" t="b">
        <f>SUMPRODUCT(--ISNUMBER(SEARCH(CategoriesConfig!C$3:C$12,$B95)))&gt;0</f>
        <v>0</v>
      </c>
      <c r="J95" s="6" t="b">
        <f>SUMPRODUCT(--ISNUMBER(SEARCH(CategoriesConfig!D$3:D$12,$B95)))&gt;0</f>
        <v>0</v>
      </c>
      <c r="K95" s="6" t="b">
        <f>SUMPRODUCT(--ISNUMBER(SEARCH(CategoriesConfig!E$3:E$12,$B95)))&gt;0</f>
        <v>0</v>
      </c>
      <c r="L95" s="6" t="b">
        <f>SUMPRODUCT(--ISNUMBER(SEARCH(CategoriesConfig!F$3:F$12,$B95)))&gt;0</f>
        <v>1</v>
      </c>
      <c r="M95" s="6" t="b">
        <f>SUMPRODUCT(--ISNUMBER(SEARCH(CategoriesConfig!G$3:G$12,$B95)))&gt;0</f>
        <v>0</v>
      </c>
      <c r="N95" s="6" t="b">
        <f>SUMPRODUCT(--ISNUMBER(SEARCH(CategoriesConfig!H$3:H$12,$B95)))&gt;0</f>
        <v>0</v>
      </c>
      <c r="O95" s="6" t="b">
        <f>SUMPRODUCT(--ISNUMBER(SEARCH(CategoriesConfig!I$3:I$12,$B95)))&gt;0</f>
        <v>0</v>
      </c>
      <c r="P95" s="22" t="b">
        <f t="shared" si="3"/>
        <v>0</v>
      </c>
      <c r="Q95" s="22">
        <f t="shared" si="5"/>
        <v>5</v>
      </c>
      <c r="S95" s="6" t="str">
        <f t="shared" si="4"/>
        <v>F</v>
      </c>
    </row>
    <row r="96" spans="1:19" ht="13.5" thickBot="1" x14ac:dyDescent="0.25">
      <c r="A96" s="4">
        <f>DATEVALUE(DataIn!A116)</f>
        <v>42886</v>
      </c>
      <c r="B96" s="5" t="str">
        <f>DataIn!B116</f>
        <v>POS 512967XXXXXX4422 ARBOR BREWPUB POS DEBIT</v>
      </c>
      <c r="C96" s="5" t="str">
        <f>DataIn!C116</f>
        <v>0000000000022431</v>
      </c>
      <c r="D96" s="5" t="str">
        <f>DataIn!D116</f>
        <v>01/06/17</v>
      </c>
      <c r="E96" s="5">
        <f>DataIn!E116</f>
        <v>265</v>
      </c>
      <c r="F96" s="5">
        <f>DataIn!F116</f>
        <v>0</v>
      </c>
      <c r="G96" s="5">
        <f>DataIn!G116</f>
        <v>108027.88</v>
      </c>
      <c r="H96" s="6" t="b">
        <f>SUMPRODUCT(--ISNUMBER(SEARCH(CategoriesConfig!B$3:B$12,$B96)))&gt;0</f>
        <v>0</v>
      </c>
      <c r="I96" s="6" t="b">
        <f>SUMPRODUCT(--ISNUMBER(SEARCH(CategoriesConfig!C$3:C$12,$B96)))&gt;0</f>
        <v>0</v>
      </c>
      <c r="J96" s="6" t="b">
        <f>SUMPRODUCT(--ISNUMBER(SEARCH(CategoriesConfig!D$3:D$12,$B96)))&gt;0</f>
        <v>0</v>
      </c>
      <c r="K96" s="6" t="b">
        <f>SUMPRODUCT(--ISNUMBER(SEARCH(CategoriesConfig!E$3:E$12,$B96)))&gt;0</f>
        <v>0</v>
      </c>
      <c r="L96" s="6" t="b">
        <f>SUMPRODUCT(--ISNUMBER(SEARCH(CategoriesConfig!F$3:F$12,$B96)))&gt;0</f>
        <v>1</v>
      </c>
      <c r="M96" s="6" t="b">
        <f>SUMPRODUCT(--ISNUMBER(SEARCH(CategoriesConfig!G$3:G$12,$B96)))&gt;0</f>
        <v>0</v>
      </c>
      <c r="N96" s="6" t="b">
        <f>SUMPRODUCT(--ISNUMBER(SEARCH(CategoriesConfig!H$3:H$12,$B96)))&gt;0</f>
        <v>0</v>
      </c>
      <c r="O96" s="6" t="b">
        <f>SUMPRODUCT(--ISNUMBER(SEARCH(CategoriesConfig!I$3:I$12,$B96)))&gt;0</f>
        <v>0</v>
      </c>
      <c r="P96" s="22" t="b">
        <f t="shared" si="3"/>
        <v>0</v>
      </c>
      <c r="Q96" s="22">
        <f t="shared" si="5"/>
        <v>5</v>
      </c>
      <c r="S96" s="6" t="str">
        <f t="shared" si="4"/>
        <v>F</v>
      </c>
    </row>
    <row r="97" spans="1:19" ht="13.5" thickBot="1" x14ac:dyDescent="0.25">
      <c r="A97" s="4">
        <f>DATEVALUE(DataIn!A117)</f>
        <v>42887</v>
      </c>
      <c r="B97" s="5" t="str">
        <f>DataIn!B117</f>
        <v>ATW-512967XXXXXX4422-S1AWHP18-BANGALORE-URB</v>
      </c>
      <c r="C97" s="5" t="str">
        <f>DataIn!C117</f>
        <v>0000000000005347</v>
      </c>
      <c r="D97" s="5" t="str">
        <f>DataIn!D117</f>
        <v>01/06/17</v>
      </c>
      <c r="E97" s="5">
        <f>DataIn!E117</f>
        <v>1000</v>
      </c>
      <c r="F97" s="5">
        <f>DataIn!F117</f>
        <v>0</v>
      </c>
      <c r="G97" s="5">
        <f>DataIn!G117</f>
        <v>107027.88</v>
      </c>
      <c r="H97" s="6" t="b">
        <f>SUMPRODUCT(--ISNUMBER(SEARCH(CategoriesConfig!B$3:B$12,$B97)))&gt;0</f>
        <v>0</v>
      </c>
      <c r="I97" s="6" t="b">
        <f>SUMPRODUCT(--ISNUMBER(SEARCH(CategoriesConfig!C$3:C$12,$B97)))&gt;0</f>
        <v>0</v>
      </c>
      <c r="J97" s="6" t="b">
        <f>SUMPRODUCT(--ISNUMBER(SEARCH(CategoriesConfig!D$3:D$12,$B97)))&gt;0</f>
        <v>0</v>
      </c>
      <c r="K97" s="6" t="b">
        <f>SUMPRODUCT(--ISNUMBER(SEARCH(CategoriesConfig!E$3:E$12,$B97)))&gt;0</f>
        <v>0</v>
      </c>
      <c r="L97" s="6" t="b">
        <f>SUMPRODUCT(--ISNUMBER(SEARCH(CategoriesConfig!F$3:F$12,$B97)))&gt;0</f>
        <v>0</v>
      </c>
      <c r="M97" s="6" t="b">
        <f>SUMPRODUCT(--ISNUMBER(SEARCH(CategoriesConfig!G$3:G$12,$B97)))&gt;0</f>
        <v>0</v>
      </c>
      <c r="N97" s="6" t="b">
        <f>SUMPRODUCT(--ISNUMBER(SEARCH(CategoriesConfig!H$3:H$12,$B97)))&gt;0</f>
        <v>1</v>
      </c>
      <c r="O97" s="6" t="b">
        <f>SUMPRODUCT(--ISNUMBER(SEARCH(CategoriesConfig!I$3:I$12,$B97)))&gt;0</f>
        <v>0</v>
      </c>
      <c r="P97" s="22" t="b">
        <f t="shared" si="3"/>
        <v>0</v>
      </c>
      <c r="Q97" s="22">
        <f t="shared" si="5"/>
        <v>6</v>
      </c>
      <c r="S97" s="6" t="str">
        <f t="shared" si="4"/>
        <v>C</v>
      </c>
    </row>
    <row r="98" spans="1:19" ht="13.5" thickBot="1" x14ac:dyDescent="0.25">
      <c r="A98" s="4">
        <f>DATEVALUE(DataIn!A118)</f>
        <v>42888</v>
      </c>
      <c r="B98" s="5" t="str">
        <f>DataIn!B118</f>
        <v>POS 512967XXXXXX4422 ZES*UBER INDIA S POS DEBIT</v>
      </c>
      <c r="C98" s="5" t="str">
        <f>DataIn!C118</f>
        <v>0000715340048910</v>
      </c>
      <c r="D98" s="5" t="str">
        <f>DataIn!D118</f>
        <v>02/06/17</v>
      </c>
      <c r="E98" s="5">
        <f>DataIn!E118</f>
        <v>105.86</v>
      </c>
      <c r="F98" s="5">
        <f>DataIn!F118</f>
        <v>0</v>
      </c>
      <c r="G98" s="5">
        <f>DataIn!G118</f>
        <v>106922.02</v>
      </c>
      <c r="H98" s="6" t="b">
        <f>SUMPRODUCT(--ISNUMBER(SEARCH(CategoriesConfig!B$3:B$12,$B98)))&gt;0</f>
        <v>0</v>
      </c>
      <c r="I98" s="6" t="b">
        <f>SUMPRODUCT(--ISNUMBER(SEARCH(CategoriesConfig!C$3:C$12,$B98)))&gt;0</f>
        <v>1</v>
      </c>
      <c r="J98" s="6" t="b">
        <f>SUMPRODUCT(--ISNUMBER(SEARCH(CategoriesConfig!D$3:D$12,$B98)))&gt;0</f>
        <v>0</v>
      </c>
      <c r="K98" s="6" t="b">
        <f>SUMPRODUCT(--ISNUMBER(SEARCH(CategoriesConfig!E$3:E$12,$B98)))&gt;0</f>
        <v>0</v>
      </c>
      <c r="L98" s="6" t="b">
        <f>SUMPRODUCT(--ISNUMBER(SEARCH(CategoriesConfig!F$3:F$12,$B98)))&gt;0</f>
        <v>0</v>
      </c>
      <c r="M98" s="6" t="b">
        <f>SUMPRODUCT(--ISNUMBER(SEARCH(CategoriesConfig!G$3:G$12,$B98)))&gt;0</f>
        <v>0</v>
      </c>
      <c r="N98" s="6" t="b">
        <f>SUMPRODUCT(--ISNUMBER(SEARCH(CategoriesConfig!H$3:H$12,$B98)))&gt;0</f>
        <v>0</v>
      </c>
      <c r="O98" s="6" t="b">
        <f>SUMPRODUCT(--ISNUMBER(SEARCH(CategoriesConfig!I$3:I$12,$B98)))&gt;0</f>
        <v>0</v>
      </c>
      <c r="P98" s="22" t="b">
        <f t="shared" si="3"/>
        <v>0</v>
      </c>
      <c r="Q98" s="22">
        <f t="shared" si="5"/>
        <v>6</v>
      </c>
      <c r="S98" s="6" t="str">
        <f t="shared" si="4"/>
        <v>U</v>
      </c>
    </row>
    <row r="99" spans="1:19" ht="13.5" thickBot="1" x14ac:dyDescent="0.25">
      <c r="A99" s="4">
        <f>DATEVALUE(DataIn!A119)</f>
        <v>42888</v>
      </c>
      <c r="B99" s="5" t="str">
        <f>DataIn!B119</f>
        <v>POS 512967XXXXXX4422 CELEBRATIONS, POS DEBIT</v>
      </c>
      <c r="C99" s="5" t="str">
        <f>DataIn!C119</f>
        <v>0000000000011718</v>
      </c>
      <c r="D99" s="5" t="str">
        <f>DataIn!D119</f>
        <v>02/06/17</v>
      </c>
      <c r="E99" s="5">
        <f>DataIn!E119</f>
        <v>75</v>
      </c>
      <c r="F99" s="5">
        <f>DataIn!F119</f>
        <v>0</v>
      </c>
      <c r="G99" s="5">
        <f>DataIn!G119</f>
        <v>106847.02</v>
      </c>
      <c r="H99" s="6" t="b">
        <f>SUMPRODUCT(--ISNUMBER(SEARCH(CategoriesConfig!B$3:B$12,$B99)))&gt;0</f>
        <v>0</v>
      </c>
      <c r="I99" s="6" t="b">
        <f>SUMPRODUCT(--ISNUMBER(SEARCH(CategoriesConfig!C$3:C$12,$B99)))&gt;0</f>
        <v>0</v>
      </c>
      <c r="J99" s="6" t="b">
        <f>SUMPRODUCT(--ISNUMBER(SEARCH(CategoriesConfig!D$3:D$12,$B99)))&gt;0</f>
        <v>1</v>
      </c>
      <c r="K99" s="6" t="b">
        <f>SUMPRODUCT(--ISNUMBER(SEARCH(CategoriesConfig!E$3:E$12,$B99)))&gt;0</f>
        <v>0</v>
      </c>
      <c r="L99" s="6" t="b">
        <f>SUMPRODUCT(--ISNUMBER(SEARCH(CategoriesConfig!F$3:F$12,$B99)))&gt;0</f>
        <v>0</v>
      </c>
      <c r="M99" s="6" t="b">
        <f>SUMPRODUCT(--ISNUMBER(SEARCH(CategoriesConfig!G$3:G$12,$B99)))&gt;0</f>
        <v>0</v>
      </c>
      <c r="N99" s="6" t="b">
        <f>SUMPRODUCT(--ISNUMBER(SEARCH(CategoriesConfig!H$3:H$12,$B99)))&gt;0</f>
        <v>0</v>
      </c>
      <c r="O99" s="6" t="b">
        <f>SUMPRODUCT(--ISNUMBER(SEARCH(CategoriesConfig!I$3:I$12,$B99)))&gt;0</f>
        <v>0</v>
      </c>
      <c r="P99" s="22" t="b">
        <f t="shared" si="3"/>
        <v>0</v>
      </c>
      <c r="Q99" s="22">
        <f t="shared" si="5"/>
        <v>6</v>
      </c>
      <c r="S99" s="6" t="str">
        <f t="shared" si="4"/>
        <v>L</v>
      </c>
    </row>
    <row r="100" spans="1:19" ht="13.5" thickBot="1" x14ac:dyDescent="0.25">
      <c r="A100" s="4">
        <f>DATEVALUE(DataIn!A120)</f>
        <v>42888</v>
      </c>
      <c r="B100" s="5" t="str">
        <f>DataIn!B120</f>
        <v>POS 512967XXXXXX4422 ZES*UBER INDIA S POS DEBIT</v>
      </c>
      <c r="C100" s="5" t="str">
        <f>DataIn!C120</f>
        <v>0000715360182797</v>
      </c>
      <c r="D100" s="5" t="str">
        <f>DataIn!D120</f>
        <v>02/06/17</v>
      </c>
      <c r="E100" s="5">
        <f>DataIn!E120</f>
        <v>158.44999999999999</v>
      </c>
      <c r="F100" s="5">
        <f>DataIn!F120</f>
        <v>0</v>
      </c>
      <c r="G100" s="5">
        <f>DataIn!G120</f>
        <v>106688.57</v>
      </c>
      <c r="H100" s="6" t="b">
        <f>SUMPRODUCT(--ISNUMBER(SEARCH(CategoriesConfig!B$3:B$12,$B100)))&gt;0</f>
        <v>0</v>
      </c>
      <c r="I100" s="6" t="b">
        <f>SUMPRODUCT(--ISNUMBER(SEARCH(CategoriesConfig!C$3:C$12,$B100)))&gt;0</f>
        <v>1</v>
      </c>
      <c r="J100" s="6" t="b">
        <f>SUMPRODUCT(--ISNUMBER(SEARCH(CategoriesConfig!D$3:D$12,$B100)))&gt;0</f>
        <v>0</v>
      </c>
      <c r="K100" s="6" t="b">
        <f>SUMPRODUCT(--ISNUMBER(SEARCH(CategoriesConfig!E$3:E$12,$B100)))&gt;0</f>
        <v>0</v>
      </c>
      <c r="L100" s="6" t="b">
        <f>SUMPRODUCT(--ISNUMBER(SEARCH(CategoriesConfig!F$3:F$12,$B100)))&gt;0</f>
        <v>0</v>
      </c>
      <c r="M100" s="6" t="b">
        <f>SUMPRODUCT(--ISNUMBER(SEARCH(CategoriesConfig!G$3:G$12,$B100)))&gt;0</f>
        <v>0</v>
      </c>
      <c r="N100" s="6" t="b">
        <f>SUMPRODUCT(--ISNUMBER(SEARCH(CategoriesConfig!H$3:H$12,$B100)))&gt;0</f>
        <v>0</v>
      </c>
      <c r="O100" s="6" t="b">
        <f>SUMPRODUCT(--ISNUMBER(SEARCH(CategoriesConfig!I$3:I$12,$B100)))&gt;0</f>
        <v>0</v>
      </c>
      <c r="P100" s="22" t="b">
        <f t="shared" si="3"/>
        <v>0</v>
      </c>
      <c r="Q100" s="22">
        <f t="shared" si="5"/>
        <v>6</v>
      </c>
      <c r="S100" s="6" t="str">
        <f t="shared" si="4"/>
        <v>U</v>
      </c>
    </row>
    <row r="101" spans="1:19" ht="13.5" thickBot="1" x14ac:dyDescent="0.25">
      <c r="A101" s="4">
        <f>DATEVALUE(DataIn!A121)</f>
        <v>42888</v>
      </c>
      <c r="B101" s="5" t="str">
        <f>DataIn!B121</f>
        <v>POS 512967XXXXXX4422 THE BULL RING POS DEBIT</v>
      </c>
      <c r="C101" s="5" t="str">
        <f>DataIn!C121</f>
        <v>0000000000411239</v>
      </c>
      <c r="D101" s="5" t="str">
        <f>DataIn!D121</f>
        <v>02/06/17</v>
      </c>
      <c r="E101" s="5">
        <f>DataIn!E121</f>
        <v>300</v>
      </c>
      <c r="F101" s="5">
        <f>DataIn!F121</f>
        <v>0</v>
      </c>
      <c r="G101" s="5">
        <f>DataIn!G121</f>
        <v>106388.57</v>
      </c>
      <c r="H101" s="6" t="b">
        <f>SUMPRODUCT(--ISNUMBER(SEARCH(CategoriesConfig!B$3:B$12,$B101)))&gt;0</f>
        <v>0</v>
      </c>
      <c r="I101" s="6" t="b">
        <f>SUMPRODUCT(--ISNUMBER(SEARCH(CategoriesConfig!C$3:C$12,$B101)))&gt;0</f>
        <v>0</v>
      </c>
      <c r="J101" s="6" t="b">
        <f>SUMPRODUCT(--ISNUMBER(SEARCH(CategoriesConfig!D$3:D$12,$B101)))&gt;0</f>
        <v>0</v>
      </c>
      <c r="K101" s="6" t="b">
        <f>SUMPRODUCT(--ISNUMBER(SEARCH(CategoriesConfig!E$3:E$12,$B101)))&gt;0</f>
        <v>0</v>
      </c>
      <c r="L101" s="6" t="b">
        <f>SUMPRODUCT(--ISNUMBER(SEARCH(CategoriesConfig!F$3:F$12,$B101)))&gt;0</f>
        <v>0</v>
      </c>
      <c r="M101" s="6" t="b">
        <f>SUMPRODUCT(--ISNUMBER(SEARCH(CategoriesConfig!G$3:G$12,$B101)))&gt;0</f>
        <v>1</v>
      </c>
      <c r="N101" s="6" t="b">
        <f>SUMPRODUCT(--ISNUMBER(SEARCH(CategoriesConfig!H$3:H$12,$B101)))&gt;0</f>
        <v>0</v>
      </c>
      <c r="O101" s="6" t="b">
        <f>SUMPRODUCT(--ISNUMBER(SEARCH(CategoriesConfig!I$3:I$12,$B101)))&gt;0</f>
        <v>0</v>
      </c>
      <c r="P101" s="22" t="b">
        <f t="shared" si="3"/>
        <v>0</v>
      </c>
      <c r="Q101" s="22">
        <f t="shared" si="5"/>
        <v>6</v>
      </c>
      <c r="S101" s="6" t="str">
        <f t="shared" si="4"/>
        <v>M</v>
      </c>
    </row>
    <row r="102" spans="1:19" ht="13.5" thickBot="1" x14ac:dyDescent="0.25">
      <c r="A102" s="4">
        <f>DATEVALUE(DataIn!A122)</f>
        <v>42889</v>
      </c>
      <c r="B102" s="5" t="str">
        <f>DataIn!B122</f>
        <v>POS 512967XXXXXX4422 WOW MOMO. POS DEBIT</v>
      </c>
      <c r="C102" s="5" t="str">
        <f>DataIn!C122</f>
        <v>0000000000013554</v>
      </c>
      <c r="D102" s="5" t="str">
        <f>DataIn!D122</f>
        <v>03/06/17</v>
      </c>
      <c r="E102" s="5">
        <f>DataIn!E122</f>
        <v>138</v>
      </c>
      <c r="F102" s="5">
        <f>DataIn!F122</f>
        <v>0</v>
      </c>
      <c r="G102" s="5">
        <f>DataIn!G122</f>
        <v>106250.57</v>
      </c>
      <c r="H102" s="6" t="b">
        <f>SUMPRODUCT(--ISNUMBER(SEARCH(CategoriesConfig!B$3:B$12,$B102)))&gt;0</f>
        <v>0</v>
      </c>
      <c r="I102" s="6" t="b">
        <f>SUMPRODUCT(--ISNUMBER(SEARCH(CategoriesConfig!C$3:C$12,$B102)))&gt;0</f>
        <v>0</v>
      </c>
      <c r="J102" s="6" t="b">
        <f>SUMPRODUCT(--ISNUMBER(SEARCH(CategoriesConfig!D$3:D$12,$B102)))&gt;0</f>
        <v>0</v>
      </c>
      <c r="K102" s="6" t="b">
        <f>SUMPRODUCT(--ISNUMBER(SEARCH(CategoriesConfig!E$3:E$12,$B102)))&gt;0</f>
        <v>0</v>
      </c>
      <c r="L102" s="6" t="b">
        <f>SUMPRODUCT(--ISNUMBER(SEARCH(CategoriesConfig!F$3:F$12,$B102)))&gt;0</f>
        <v>0</v>
      </c>
      <c r="M102" s="6" t="b">
        <f>SUMPRODUCT(--ISNUMBER(SEARCH(CategoriesConfig!G$3:G$12,$B102)))&gt;0</f>
        <v>0</v>
      </c>
      <c r="N102" s="6" t="b">
        <f>SUMPRODUCT(--ISNUMBER(SEARCH(CategoriesConfig!H$3:H$12,$B102)))&gt;0</f>
        <v>0</v>
      </c>
      <c r="O102" s="6" t="b">
        <f>SUMPRODUCT(--ISNUMBER(SEARCH(CategoriesConfig!I$3:I$12,$B102)))&gt;0</f>
        <v>0</v>
      </c>
      <c r="P102" s="22" t="b">
        <f t="shared" si="3"/>
        <v>1</v>
      </c>
      <c r="Q102" s="22">
        <f t="shared" si="5"/>
        <v>6</v>
      </c>
      <c r="R102" s="2" t="s">
        <v>221</v>
      </c>
      <c r="S102" s="6" t="str">
        <f t="shared" si="4"/>
        <v>F</v>
      </c>
    </row>
    <row r="103" spans="1:19" ht="13.5" thickBot="1" x14ac:dyDescent="0.25">
      <c r="A103" s="4">
        <f>DATEVALUE(DataIn!A123)</f>
        <v>42889</v>
      </c>
      <c r="B103" s="5" t="str">
        <f>DataIn!B123</f>
        <v>POS 512967XXXXXX4422 TATA STARBUCKS, POS DEBIT</v>
      </c>
      <c r="C103" s="5" t="str">
        <f>DataIn!C123</f>
        <v>0000000000044766</v>
      </c>
      <c r="D103" s="5" t="str">
        <f>DataIn!D123</f>
        <v>03/06/17</v>
      </c>
      <c r="E103" s="5">
        <f>DataIn!E123</f>
        <v>217</v>
      </c>
      <c r="F103" s="5">
        <f>DataIn!F123</f>
        <v>0</v>
      </c>
      <c r="G103" s="5">
        <f>DataIn!G123</f>
        <v>106033.57</v>
      </c>
      <c r="H103" s="6" t="b">
        <f>SUMPRODUCT(--ISNUMBER(SEARCH(CategoriesConfig!B$3:B$12,$B103)))&gt;0</f>
        <v>0</v>
      </c>
      <c r="I103" s="6" t="b">
        <f>SUMPRODUCT(--ISNUMBER(SEARCH(CategoriesConfig!C$3:C$12,$B103)))&gt;0</f>
        <v>0</v>
      </c>
      <c r="J103" s="6" t="b">
        <f>SUMPRODUCT(--ISNUMBER(SEARCH(CategoriesConfig!D$3:D$12,$B103)))&gt;0</f>
        <v>0</v>
      </c>
      <c r="K103" s="6" t="b">
        <f>SUMPRODUCT(--ISNUMBER(SEARCH(CategoriesConfig!E$3:E$12,$B103)))&gt;0</f>
        <v>0</v>
      </c>
      <c r="L103" s="6" t="b">
        <f>SUMPRODUCT(--ISNUMBER(SEARCH(CategoriesConfig!F$3:F$12,$B103)))&gt;0</f>
        <v>1</v>
      </c>
      <c r="M103" s="6" t="b">
        <f>SUMPRODUCT(--ISNUMBER(SEARCH(CategoriesConfig!G$3:G$12,$B103)))&gt;0</f>
        <v>0</v>
      </c>
      <c r="N103" s="6" t="b">
        <f>SUMPRODUCT(--ISNUMBER(SEARCH(CategoriesConfig!H$3:H$12,$B103)))&gt;0</f>
        <v>0</v>
      </c>
      <c r="O103" s="6" t="b">
        <f>SUMPRODUCT(--ISNUMBER(SEARCH(CategoriesConfig!I$3:I$12,$B103)))&gt;0</f>
        <v>0</v>
      </c>
      <c r="P103" s="22" t="b">
        <f t="shared" si="3"/>
        <v>0</v>
      </c>
      <c r="Q103" s="22">
        <f t="shared" si="5"/>
        <v>6</v>
      </c>
      <c r="R103" s="2" t="s">
        <v>221</v>
      </c>
      <c r="S103" s="6" t="str">
        <f t="shared" si="4"/>
        <v>F</v>
      </c>
    </row>
    <row r="104" spans="1:19" ht="13.5" thickBot="1" x14ac:dyDescent="0.25">
      <c r="A104" s="4">
        <f>DATEVALUE(DataIn!A124)</f>
        <v>42889</v>
      </c>
      <c r="B104" s="5" t="str">
        <f>DataIn!B124</f>
        <v>POS 512967XXXXXX4422 ZES*UBER INDIA S POS DEBIT</v>
      </c>
      <c r="C104" s="5" t="str">
        <f>DataIn!C124</f>
        <v>0000715440172217</v>
      </c>
      <c r="D104" s="5" t="str">
        <f>DataIn!D124</f>
        <v>03/06/17</v>
      </c>
      <c r="E104" s="5">
        <f>DataIn!E124</f>
        <v>172.23</v>
      </c>
      <c r="F104" s="5">
        <f>DataIn!F124</f>
        <v>0</v>
      </c>
      <c r="G104" s="5">
        <f>DataIn!G124</f>
        <v>105861.34</v>
      </c>
      <c r="H104" s="6" t="b">
        <f>SUMPRODUCT(--ISNUMBER(SEARCH(CategoriesConfig!B$3:B$12,$B104)))&gt;0</f>
        <v>0</v>
      </c>
      <c r="I104" s="6" t="b">
        <f>SUMPRODUCT(--ISNUMBER(SEARCH(CategoriesConfig!C$3:C$12,$B104)))&gt;0</f>
        <v>1</v>
      </c>
      <c r="J104" s="6" t="b">
        <f>SUMPRODUCT(--ISNUMBER(SEARCH(CategoriesConfig!D$3:D$12,$B104)))&gt;0</f>
        <v>0</v>
      </c>
      <c r="K104" s="6" t="b">
        <f>SUMPRODUCT(--ISNUMBER(SEARCH(CategoriesConfig!E$3:E$12,$B104)))&gt;0</f>
        <v>0</v>
      </c>
      <c r="L104" s="6" t="b">
        <f>SUMPRODUCT(--ISNUMBER(SEARCH(CategoriesConfig!F$3:F$12,$B104)))&gt;0</f>
        <v>0</v>
      </c>
      <c r="M104" s="6" t="b">
        <f>SUMPRODUCT(--ISNUMBER(SEARCH(CategoriesConfig!G$3:G$12,$B104)))&gt;0</f>
        <v>0</v>
      </c>
      <c r="N104" s="6" t="b">
        <f>SUMPRODUCT(--ISNUMBER(SEARCH(CategoriesConfig!H$3:H$12,$B104)))&gt;0</f>
        <v>0</v>
      </c>
      <c r="O104" s="6" t="b">
        <f>SUMPRODUCT(--ISNUMBER(SEARCH(CategoriesConfig!I$3:I$12,$B104)))&gt;0</f>
        <v>0</v>
      </c>
      <c r="P104" s="22" t="b">
        <f t="shared" si="3"/>
        <v>0</v>
      </c>
      <c r="Q104" s="22">
        <f t="shared" si="5"/>
        <v>6</v>
      </c>
      <c r="R104" s="2" t="s">
        <v>224</v>
      </c>
      <c r="S104" s="6" t="str">
        <f t="shared" si="4"/>
        <v>U</v>
      </c>
    </row>
    <row r="105" spans="1:19" ht="13.5" thickBot="1" x14ac:dyDescent="0.25">
      <c r="A105" s="4">
        <f>DATEVALUE(DataIn!A125)</f>
        <v>42890</v>
      </c>
      <c r="B105" s="5" t="str">
        <f>DataIn!B125</f>
        <v>POS 512967XXXXXX4422 TATA STARBUCKS, POS DEBIT</v>
      </c>
      <c r="C105" s="5" t="str">
        <f>DataIn!C125</f>
        <v>0000000000043201</v>
      </c>
      <c r="D105" s="5" t="str">
        <f>DataIn!D125</f>
        <v>04/06/17</v>
      </c>
      <c r="E105" s="5">
        <f>DataIn!E125</f>
        <v>446</v>
      </c>
      <c r="F105" s="5">
        <f>DataIn!F125</f>
        <v>0</v>
      </c>
      <c r="G105" s="5">
        <f>DataIn!G125</f>
        <v>105415.34</v>
      </c>
      <c r="H105" s="6" t="b">
        <f>SUMPRODUCT(--ISNUMBER(SEARCH(CategoriesConfig!B$3:B$12,$B105)))&gt;0</f>
        <v>0</v>
      </c>
      <c r="I105" s="6" t="b">
        <f>SUMPRODUCT(--ISNUMBER(SEARCH(CategoriesConfig!C$3:C$12,$B105)))&gt;0</f>
        <v>0</v>
      </c>
      <c r="J105" s="6" t="b">
        <f>SUMPRODUCT(--ISNUMBER(SEARCH(CategoriesConfig!D$3:D$12,$B105)))&gt;0</f>
        <v>0</v>
      </c>
      <c r="K105" s="6" t="b">
        <f>SUMPRODUCT(--ISNUMBER(SEARCH(CategoriesConfig!E$3:E$12,$B105)))&gt;0</f>
        <v>0</v>
      </c>
      <c r="L105" s="6" t="b">
        <f>SUMPRODUCT(--ISNUMBER(SEARCH(CategoriesConfig!F$3:F$12,$B105)))&gt;0</f>
        <v>1</v>
      </c>
      <c r="M105" s="6" t="b">
        <f>SUMPRODUCT(--ISNUMBER(SEARCH(CategoriesConfig!G$3:G$12,$B105)))&gt;0</f>
        <v>0</v>
      </c>
      <c r="N105" s="6" t="b">
        <f>SUMPRODUCT(--ISNUMBER(SEARCH(CategoriesConfig!H$3:H$12,$B105)))&gt;0</f>
        <v>0</v>
      </c>
      <c r="O105" s="6" t="b">
        <f>SUMPRODUCT(--ISNUMBER(SEARCH(CategoriesConfig!I$3:I$12,$B105)))&gt;0</f>
        <v>0</v>
      </c>
      <c r="P105" s="22" t="b">
        <f t="shared" si="3"/>
        <v>0</v>
      </c>
      <c r="Q105" s="22">
        <f t="shared" si="5"/>
        <v>6</v>
      </c>
      <c r="R105" s="2" t="s">
        <v>221</v>
      </c>
      <c r="S105" s="6" t="str">
        <f t="shared" si="4"/>
        <v>F</v>
      </c>
    </row>
    <row r="106" spans="1:19" ht="13.5" thickBot="1" x14ac:dyDescent="0.25">
      <c r="A106" s="4">
        <f>DATEVALUE(DataIn!A126)</f>
        <v>42890</v>
      </c>
      <c r="B106" s="5" t="str">
        <f>DataIn!B126</f>
        <v>POS 512967XXXXXX4422 ZAAK EPAYMENT SE POS DEBIT</v>
      </c>
      <c r="C106" s="5" t="str">
        <f>DataIn!C126</f>
        <v>0000000000558604</v>
      </c>
      <c r="D106" s="5" t="str">
        <f>DataIn!D126</f>
        <v>04/06/17</v>
      </c>
      <c r="E106" s="5">
        <f>DataIn!E126</f>
        <v>173.07</v>
      </c>
      <c r="F106" s="5">
        <f>DataIn!F126</f>
        <v>0</v>
      </c>
      <c r="G106" s="5">
        <f>DataIn!G126</f>
        <v>105242.27</v>
      </c>
      <c r="H106" s="6" t="b">
        <f>SUMPRODUCT(--ISNUMBER(SEARCH(CategoriesConfig!B$3:B$12,$B106)))&gt;0</f>
        <v>0</v>
      </c>
      <c r="I106" s="6" t="b">
        <f>SUMPRODUCT(--ISNUMBER(SEARCH(CategoriesConfig!C$3:C$12,$B106)))&gt;0</f>
        <v>0</v>
      </c>
      <c r="J106" s="6" t="b">
        <f>SUMPRODUCT(--ISNUMBER(SEARCH(CategoriesConfig!D$3:D$12,$B106)))&gt;0</f>
        <v>0</v>
      </c>
      <c r="K106" s="6" t="b">
        <f>SUMPRODUCT(--ISNUMBER(SEARCH(CategoriesConfig!E$3:E$12,$B106)))&gt;0</f>
        <v>0</v>
      </c>
      <c r="L106" s="6" t="b">
        <f>SUMPRODUCT(--ISNUMBER(SEARCH(CategoriesConfig!F$3:F$12,$B106)))&gt;0</f>
        <v>0</v>
      </c>
      <c r="M106" s="6" t="b">
        <f>SUMPRODUCT(--ISNUMBER(SEARCH(CategoriesConfig!G$3:G$12,$B106)))&gt;0</f>
        <v>0</v>
      </c>
      <c r="N106" s="6" t="b">
        <f>SUMPRODUCT(--ISNUMBER(SEARCH(CategoriesConfig!H$3:H$12,$B106)))&gt;0</f>
        <v>0</v>
      </c>
      <c r="O106" s="6" t="b">
        <f>SUMPRODUCT(--ISNUMBER(SEARCH(CategoriesConfig!I$3:I$12,$B106)))&gt;0</f>
        <v>0</v>
      </c>
      <c r="P106" s="22" t="b">
        <f t="shared" si="3"/>
        <v>1</v>
      </c>
      <c r="Q106" s="22">
        <f t="shared" si="5"/>
        <v>6</v>
      </c>
      <c r="R106" s="2" t="s">
        <v>223</v>
      </c>
      <c r="S106" s="6" t="str">
        <f t="shared" si="4"/>
        <v>M</v>
      </c>
    </row>
    <row r="107" spans="1:19" ht="13.5" thickBot="1" x14ac:dyDescent="0.25">
      <c r="A107" s="4">
        <f>DATEVALUE(DataIn!A127)</f>
        <v>42890</v>
      </c>
      <c r="B107" s="5" t="str">
        <f>DataIn!B127</f>
        <v>POS 512967XXXXXX4422 PAYU-WWW.SWIGGY. POS DEBIT</v>
      </c>
      <c r="C107" s="5" t="str">
        <f>DataIn!C127</f>
        <v>0000020019043680</v>
      </c>
      <c r="D107" s="5" t="str">
        <f>DataIn!D127</f>
        <v>04/06/17</v>
      </c>
      <c r="E107" s="5">
        <f>DataIn!E127</f>
        <v>292</v>
      </c>
      <c r="F107" s="5">
        <f>DataIn!F127</f>
        <v>0</v>
      </c>
      <c r="G107" s="5">
        <f>DataIn!G127</f>
        <v>104950.27</v>
      </c>
      <c r="H107" s="6" t="b">
        <f>SUMPRODUCT(--ISNUMBER(SEARCH(CategoriesConfig!B$3:B$12,$B107)))&gt;0</f>
        <v>0</v>
      </c>
      <c r="I107" s="6" t="b">
        <f>SUMPRODUCT(--ISNUMBER(SEARCH(CategoriesConfig!C$3:C$12,$B107)))&gt;0</f>
        <v>0</v>
      </c>
      <c r="J107" s="6" t="b">
        <f>SUMPRODUCT(--ISNUMBER(SEARCH(CategoriesConfig!D$3:D$12,$B107)))&gt;0</f>
        <v>0</v>
      </c>
      <c r="K107" s="6" t="b">
        <f>SUMPRODUCT(--ISNUMBER(SEARCH(CategoriesConfig!E$3:E$12,$B107)))&gt;0</f>
        <v>0</v>
      </c>
      <c r="L107" s="6" t="b">
        <f>SUMPRODUCT(--ISNUMBER(SEARCH(CategoriesConfig!F$3:F$12,$B107)))&gt;0</f>
        <v>1</v>
      </c>
      <c r="M107" s="6" t="b">
        <f>SUMPRODUCT(--ISNUMBER(SEARCH(CategoriesConfig!G$3:G$12,$B107)))&gt;0</f>
        <v>0</v>
      </c>
      <c r="N107" s="6" t="b">
        <f>SUMPRODUCT(--ISNUMBER(SEARCH(CategoriesConfig!H$3:H$12,$B107)))&gt;0</f>
        <v>0</v>
      </c>
      <c r="O107" s="6" t="b">
        <f>SUMPRODUCT(--ISNUMBER(SEARCH(CategoriesConfig!I$3:I$12,$B107)))&gt;0</f>
        <v>0</v>
      </c>
      <c r="P107" s="22" t="b">
        <f t="shared" ref="P107:P170" si="6">IF(SUMIF(H107:O107,"TRUE",H$1:O$1)=0,TRUE,FALSE)</f>
        <v>0</v>
      </c>
      <c r="Q107" s="22">
        <f t="shared" si="5"/>
        <v>6</v>
      </c>
      <c r="S107" s="6" t="str">
        <f t="shared" si="4"/>
        <v>F</v>
      </c>
    </row>
    <row r="108" spans="1:19" ht="13.5" thickBot="1" x14ac:dyDescent="0.25">
      <c r="A108" s="4">
        <f>DATEVALUE(DataIn!A128)</f>
        <v>42891</v>
      </c>
      <c r="B108" s="5" t="str">
        <f>DataIn!B128</f>
        <v>POS 512967XXXXXX4422 CELEBRATIONS, POS DEBIT</v>
      </c>
      <c r="C108" s="5" t="str">
        <f>DataIn!C128</f>
        <v>0000000000011965</v>
      </c>
      <c r="D108" s="5" t="str">
        <f>DataIn!D128</f>
        <v>05/06/17</v>
      </c>
      <c r="E108" s="5">
        <f>DataIn!E128</f>
        <v>75</v>
      </c>
      <c r="F108" s="5">
        <f>DataIn!F128</f>
        <v>0</v>
      </c>
      <c r="G108" s="5">
        <f>DataIn!G128</f>
        <v>104875.27</v>
      </c>
      <c r="H108" s="6" t="b">
        <f>SUMPRODUCT(--ISNUMBER(SEARCH(CategoriesConfig!B$3:B$12,$B108)))&gt;0</f>
        <v>0</v>
      </c>
      <c r="I108" s="6" t="b">
        <f>SUMPRODUCT(--ISNUMBER(SEARCH(CategoriesConfig!C$3:C$12,$B108)))&gt;0</f>
        <v>0</v>
      </c>
      <c r="J108" s="6" t="b">
        <f>SUMPRODUCT(--ISNUMBER(SEARCH(CategoriesConfig!D$3:D$12,$B108)))&gt;0</f>
        <v>1</v>
      </c>
      <c r="K108" s="6" t="b">
        <f>SUMPRODUCT(--ISNUMBER(SEARCH(CategoriesConfig!E$3:E$12,$B108)))&gt;0</f>
        <v>0</v>
      </c>
      <c r="L108" s="6" t="b">
        <f>SUMPRODUCT(--ISNUMBER(SEARCH(CategoriesConfig!F$3:F$12,$B108)))&gt;0</f>
        <v>0</v>
      </c>
      <c r="M108" s="6" t="b">
        <f>SUMPRODUCT(--ISNUMBER(SEARCH(CategoriesConfig!G$3:G$12,$B108)))&gt;0</f>
        <v>0</v>
      </c>
      <c r="N108" s="6" t="b">
        <f>SUMPRODUCT(--ISNUMBER(SEARCH(CategoriesConfig!H$3:H$12,$B108)))&gt;0</f>
        <v>0</v>
      </c>
      <c r="O108" s="6" t="b">
        <f>SUMPRODUCT(--ISNUMBER(SEARCH(CategoriesConfig!I$3:I$12,$B108)))&gt;0</f>
        <v>0</v>
      </c>
      <c r="P108" s="22" t="b">
        <f t="shared" si="6"/>
        <v>0</v>
      </c>
      <c r="Q108" s="22">
        <f t="shared" si="5"/>
        <v>6</v>
      </c>
      <c r="S108" s="6" t="str">
        <f t="shared" si="4"/>
        <v>L</v>
      </c>
    </row>
    <row r="109" spans="1:19" ht="13.5" thickBot="1" x14ac:dyDescent="0.25">
      <c r="A109" s="4">
        <f>DATEVALUE(DataIn!A129)</f>
        <v>42891</v>
      </c>
      <c r="B109" s="5" t="str">
        <f>DataIn!B129</f>
        <v>POS 512967XXXXXX4422 RELIANCE DIGITAL POS DEBIT</v>
      </c>
      <c r="C109" s="5" t="str">
        <f>DataIn!C129</f>
        <v>0000000000714503</v>
      </c>
      <c r="D109" s="5" t="str">
        <f>DataIn!D129</f>
        <v>05/06/17</v>
      </c>
      <c r="E109" s="5">
        <f>DataIn!E129</f>
        <v>899</v>
      </c>
      <c r="F109" s="5">
        <f>DataIn!F129</f>
        <v>0</v>
      </c>
      <c r="G109" s="5">
        <f>DataIn!G129</f>
        <v>103976.27</v>
      </c>
      <c r="H109" s="6" t="b">
        <f>SUMPRODUCT(--ISNUMBER(SEARCH(CategoriesConfig!B$3:B$12,$B109)))&gt;0</f>
        <v>0</v>
      </c>
      <c r="I109" s="6" t="b">
        <f>SUMPRODUCT(--ISNUMBER(SEARCH(CategoriesConfig!C$3:C$12,$B109)))&gt;0</f>
        <v>0</v>
      </c>
      <c r="J109" s="6" t="b">
        <f>SUMPRODUCT(--ISNUMBER(SEARCH(CategoriesConfig!D$3:D$12,$B109)))&gt;0</f>
        <v>0</v>
      </c>
      <c r="K109" s="6" t="b">
        <f>SUMPRODUCT(--ISNUMBER(SEARCH(CategoriesConfig!E$3:E$12,$B109)))&gt;0</f>
        <v>0</v>
      </c>
      <c r="L109" s="6" t="b">
        <f>SUMPRODUCT(--ISNUMBER(SEARCH(CategoriesConfig!F$3:F$12,$B109)))&gt;0</f>
        <v>0</v>
      </c>
      <c r="M109" s="6" t="b">
        <f>SUMPRODUCT(--ISNUMBER(SEARCH(CategoriesConfig!G$3:G$12,$B109)))&gt;0</f>
        <v>0</v>
      </c>
      <c r="N109" s="6" t="b">
        <f>SUMPRODUCT(--ISNUMBER(SEARCH(CategoriesConfig!H$3:H$12,$B109)))&gt;0</f>
        <v>0</v>
      </c>
      <c r="O109" s="6" t="b">
        <f>SUMPRODUCT(--ISNUMBER(SEARCH(CategoriesConfig!I$3:I$12,$B109)))&gt;0</f>
        <v>0</v>
      </c>
      <c r="P109" s="22" t="b">
        <f t="shared" si="6"/>
        <v>1</v>
      </c>
      <c r="Q109" s="22">
        <f t="shared" si="5"/>
        <v>6</v>
      </c>
      <c r="R109" s="2" t="s">
        <v>223</v>
      </c>
      <c r="S109" s="6" t="str">
        <f t="shared" si="4"/>
        <v>M</v>
      </c>
    </row>
    <row r="110" spans="1:19" ht="13.5" thickBot="1" x14ac:dyDescent="0.25">
      <c r="A110" s="4">
        <f>DATEVALUE(DataIn!A130)</f>
        <v>42892</v>
      </c>
      <c r="B110" s="5" t="str">
        <f>DataIn!B130</f>
        <v>POS 512967XXXXXX4422 CHILIS POS DEBIT</v>
      </c>
      <c r="C110" s="5" t="str">
        <f>DataIn!C130</f>
        <v>0000000000010570</v>
      </c>
      <c r="D110" s="5" t="str">
        <f>DataIn!D130</f>
        <v>06/06/17</v>
      </c>
      <c r="E110" s="5">
        <f>DataIn!E130</f>
        <v>416</v>
      </c>
      <c r="F110" s="5">
        <f>DataIn!F130</f>
        <v>0</v>
      </c>
      <c r="G110" s="5">
        <f>DataIn!G130</f>
        <v>103560.27</v>
      </c>
      <c r="H110" s="6" t="b">
        <f>SUMPRODUCT(--ISNUMBER(SEARCH(CategoriesConfig!B$3:B$12,$B110)))&gt;0</f>
        <v>0</v>
      </c>
      <c r="I110" s="6" t="b">
        <f>SUMPRODUCT(--ISNUMBER(SEARCH(CategoriesConfig!C$3:C$12,$B110)))&gt;0</f>
        <v>0</v>
      </c>
      <c r="J110" s="6" t="b">
        <f>SUMPRODUCT(--ISNUMBER(SEARCH(CategoriesConfig!D$3:D$12,$B110)))&gt;0</f>
        <v>0</v>
      </c>
      <c r="K110" s="6" t="b">
        <f>SUMPRODUCT(--ISNUMBER(SEARCH(CategoriesConfig!E$3:E$12,$B110)))&gt;0</f>
        <v>0</v>
      </c>
      <c r="L110" s="6" t="b">
        <f>SUMPRODUCT(--ISNUMBER(SEARCH(CategoriesConfig!F$3:F$12,$B110)))&gt;0</f>
        <v>0</v>
      </c>
      <c r="M110" s="6" t="b">
        <f>SUMPRODUCT(--ISNUMBER(SEARCH(CategoriesConfig!G$3:G$12,$B110)))&gt;0</f>
        <v>0</v>
      </c>
      <c r="N110" s="6" t="b">
        <f>SUMPRODUCT(--ISNUMBER(SEARCH(CategoriesConfig!H$3:H$12,$B110)))&gt;0</f>
        <v>0</v>
      </c>
      <c r="O110" s="6" t="b">
        <f>SUMPRODUCT(--ISNUMBER(SEARCH(CategoriesConfig!I$3:I$12,$B110)))&gt;0</f>
        <v>0</v>
      </c>
      <c r="P110" s="22" t="b">
        <f t="shared" si="6"/>
        <v>1</v>
      </c>
      <c r="Q110" s="22">
        <f t="shared" si="5"/>
        <v>6</v>
      </c>
      <c r="R110" s="2" t="s">
        <v>221</v>
      </c>
      <c r="S110" s="6" t="str">
        <f t="shared" si="4"/>
        <v>F</v>
      </c>
    </row>
    <row r="111" spans="1:19" ht="13.5" thickBot="1" x14ac:dyDescent="0.25">
      <c r="A111" s="4">
        <f>DATEVALUE(DataIn!A131)</f>
        <v>42892</v>
      </c>
      <c r="B111" s="5" t="str">
        <f>DataIn!B131</f>
        <v>POS 512967XXXXXX4422 HYPERCITY RETAIL POS DEBIT</v>
      </c>
      <c r="C111" s="5" t="str">
        <f>DataIn!C131</f>
        <v>0000000000004260</v>
      </c>
      <c r="D111" s="5" t="str">
        <f>DataIn!D131</f>
        <v>06/06/17</v>
      </c>
      <c r="E111" s="5">
        <f>DataIn!E131</f>
        <v>457.1</v>
      </c>
      <c r="F111" s="5">
        <f>DataIn!F131</f>
        <v>0</v>
      </c>
      <c r="G111" s="5">
        <f>DataIn!G131</f>
        <v>103103.17</v>
      </c>
      <c r="H111" s="6" t="b">
        <f>SUMPRODUCT(--ISNUMBER(SEARCH(CategoriesConfig!B$3:B$12,$B111)))&gt;0</f>
        <v>0</v>
      </c>
      <c r="I111" s="6" t="b">
        <f>SUMPRODUCT(--ISNUMBER(SEARCH(CategoriesConfig!C$3:C$12,$B111)))&gt;0</f>
        <v>0</v>
      </c>
      <c r="J111" s="6" t="b">
        <f>SUMPRODUCT(--ISNUMBER(SEARCH(CategoriesConfig!D$3:D$12,$B111)))&gt;0</f>
        <v>0</v>
      </c>
      <c r="K111" s="6" t="b">
        <f>SUMPRODUCT(--ISNUMBER(SEARCH(CategoriesConfig!E$3:E$12,$B111)))&gt;0</f>
        <v>0</v>
      </c>
      <c r="L111" s="6" t="b">
        <f>SUMPRODUCT(--ISNUMBER(SEARCH(CategoriesConfig!F$3:F$12,$B111)))&gt;0</f>
        <v>0</v>
      </c>
      <c r="M111" s="6" t="b">
        <f>SUMPRODUCT(--ISNUMBER(SEARCH(CategoriesConfig!G$3:G$12,$B111)))&gt;0</f>
        <v>1</v>
      </c>
      <c r="N111" s="6" t="b">
        <f>SUMPRODUCT(--ISNUMBER(SEARCH(CategoriesConfig!H$3:H$12,$B111)))&gt;0</f>
        <v>0</v>
      </c>
      <c r="O111" s="6" t="b">
        <f>SUMPRODUCT(--ISNUMBER(SEARCH(CategoriesConfig!I$3:I$12,$B111)))&gt;0</f>
        <v>0</v>
      </c>
      <c r="P111" s="22" t="b">
        <f t="shared" si="6"/>
        <v>0</v>
      </c>
      <c r="Q111" s="22">
        <f t="shared" si="5"/>
        <v>6</v>
      </c>
      <c r="R111" s="2" t="s">
        <v>223</v>
      </c>
      <c r="S111" s="6" t="str">
        <f t="shared" si="4"/>
        <v>M</v>
      </c>
    </row>
    <row r="112" spans="1:19" ht="13.5" thickBot="1" x14ac:dyDescent="0.25">
      <c r="A112" s="4">
        <f>DATEVALUE(DataIn!A132)</f>
        <v>42893</v>
      </c>
      <c r="B112" s="5" t="str">
        <f>DataIn!B132</f>
        <v>POS 512967XXXXXX4422 PAYTM POS DEBIT</v>
      </c>
      <c r="C112" s="5" t="str">
        <f>DataIn!C132</f>
        <v>0000000000350854</v>
      </c>
      <c r="D112" s="5" t="str">
        <f>DataIn!D132</f>
        <v>07/06/17</v>
      </c>
      <c r="E112" s="5">
        <f>DataIn!E132</f>
        <v>348</v>
      </c>
      <c r="F112" s="5">
        <f>DataIn!F132</f>
        <v>0</v>
      </c>
      <c r="G112" s="5">
        <f>DataIn!G132</f>
        <v>102755.17</v>
      </c>
      <c r="H112" s="6" t="b">
        <f>SUMPRODUCT(--ISNUMBER(SEARCH(CategoriesConfig!B$3:B$12,$B112)))&gt;0</f>
        <v>0</v>
      </c>
      <c r="I112" s="6" t="b">
        <f>SUMPRODUCT(--ISNUMBER(SEARCH(CategoriesConfig!C$3:C$12,$B112)))&gt;0</f>
        <v>0</v>
      </c>
      <c r="J112" s="6" t="b">
        <f>SUMPRODUCT(--ISNUMBER(SEARCH(CategoriesConfig!D$3:D$12,$B112)))&gt;0</f>
        <v>0</v>
      </c>
      <c r="K112" s="6" t="b">
        <f>SUMPRODUCT(--ISNUMBER(SEARCH(CategoriesConfig!E$3:E$12,$B112)))&gt;0</f>
        <v>0</v>
      </c>
      <c r="L112" s="6" t="b">
        <f>SUMPRODUCT(--ISNUMBER(SEARCH(CategoriesConfig!F$3:F$12,$B112)))&gt;0</f>
        <v>0</v>
      </c>
      <c r="M112" s="6" t="b">
        <f>SUMPRODUCT(--ISNUMBER(SEARCH(CategoriesConfig!G$3:G$12,$B112)))&gt;0</f>
        <v>0</v>
      </c>
      <c r="N112" s="6" t="b">
        <f>SUMPRODUCT(--ISNUMBER(SEARCH(CategoriesConfig!H$3:H$12,$B112)))&gt;0</f>
        <v>0</v>
      </c>
      <c r="O112" s="6" t="b">
        <f>SUMPRODUCT(--ISNUMBER(SEARCH(CategoriesConfig!I$3:I$12,$B112)))&gt;0</f>
        <v>0</v>
      </c>
      <c r="P112" s="22" t="b">
        <f t="shared" si="6"/>
        <v>1</v>
      </c>
      <c r="Q112" s="22">
        <f t="shared" si="5"/>
        <v>6</v>
      </c>
      <c r="R112" s="2" t="s">
        <v>223</v>
      </c>
      <c r="S112" s="6" t="str">
        <f t="shared" si="4"/>
        <v>M</v>
      </c>
    </row>
    <row r="113" spans="1:19" ht="13.5" thickBot="1" x14ac:dyDescent="0.25">
      <c r="A113" s="4">
        <f>DATEVALUE(DataIn!A133)</f>
        <v>42893</v>
      </c>
      <c r="B113" s="5" t="str">
        <f>DataIn!B133</f>
        <v>POS 512967XXXXXX4422 PAYU-WWW.OLACABS POS DEBIT</v>
      </c>
      <c r="C113" s="5" t="str">
        <f>DataIn!C133</f>
        <v>0000040013336098</v>
      </c>
      <c r="D113" s="5" t="str">
        <f>DataIn!D133</f>
        <v>07/06/17</v>
      </c>
      <c r="E113" s="5">
        <f>DataIn!E133</f>
        <v>599</v>
      </c>
      <c r="F113" s="5">
        <f>DataIn!F133</f>
        <v>0</v>
      </c>
      <c r="G113" s="5">
        <f>DataIn!G133</f>
        <v>102156.17</v>
      </c>
      <c r="H113" s="6" t="b">
        <f>SUMPRODUCT(--ISNUMBER(SEARCH(CategoriesConfig!B$3:B$12,$B113)))&gt;0</f>
        <v>0</v>
      </c>
      <c r="I113" s="6" t="b">
        <f>SUMPRODUCT(--ISNUMBER(SEARCH(CategoriesConfig!C$3:C$12,$B113)))&gt;0</f>
        <v>1</v>
      </c>
      <c r="J113" s="6" t="b">
        <f>SUMPRODUCT(--ISNUMBER(SEARCH(CategoriesConfig!D$3:D$12,$B113)))&gt;0</f>
        <v>0</v>
      </c>
      <c r="K113" s="6" t="b">
        <f>SUMPRODUCT(--ISNUMBER(SEARCH(CategoriesConfig!E$3:E$12,$B113)))&gt;0</f>
        <v>0</v>
      </c>
      <c r="L113" s="6" t="b">
        <f>SUMPRODUCT(--ISNUMBER(SEARCH(CategoriesConfig!F$3:F$12,$B113)))&gt;0</f>
        <v>0</v>
      </c>
      <c r="M113" s="6" t="b">
        <f>SUMPRODUCT(--ISNUMBER(SEARCH(CategoriesConfig!G$3:G$12,$B113)))&gt;0</f>
        <v>0</v>
      </c>
      <c r="N113" s="6" t="b">
        <f>SUMPRODUCT(--ISNUMBER(SEARCH(CategoriesConfig!H$3:H$12,$B113)))&gt;0</f>
        <v>0</v>
      </c>
      <c r="O113" s="6" t="b">
        <f>SUMPRODUCT(--ISNUMBER(SEARCH(CategoriesConfig!I$3:I$12,$B113)))&gt;0</f>
        <v>0</v>
      </c>
      <c r="P113" s="22" t="b">
        <f t="shared" si="6"/>
        <v>0</v>
      </c>
      <c r="Q113" s="22">
        <f t="shared" si="5"/>
        <v>6</v>
      </c>
      <c r="S113" s="6" t="str">
        <f t="shared" si="4"/>
        <v>U</v>
      </c>
    </row>
    <row r="114" spans="1:19" ht="13.5" thickBot="1" x14ac:dyDescent="0.25">
      <c r="A114" s="4">
        <f>DATEVALUE(DataIn!A134)</f>
        <v>42893</v>
      </c>
      <c r="B114" s="5" t="str">
        <f>DataIn!B134</f>
        <v>POS 512967XXXXXX4422 CELEBRATIONS, POS DEBIT</v>
      </c>
      <c r="C114" s="5" t="str">
        <f>DataIn!C134</f>
        <v>0000000000012596</v>
      </c>
      <c r="D114" s="5" t="str">
        <f>DataIn!D134</f>
        <v>07/06/17</v>
      </c>
      <c r="E114" s="5">
        <f>DataIn!E134</f>
        <v>75</v>
      </c>
      <c r="F114" s="5">
        <f>DataIn!F134</f>
        <v>0</v>
      </c>
      <c r="G114" s="5">
        <f>DataIn!G134</f>
        <v>102081.17</v>
      </c>
      <c r="H114" s="6" t="b">
        <f>SUMPRODUCT(--ISNUMBER(SEARCH(CategoriesConfig!B$3:B$12,$B114)))&gt;0</f>
        <v>0</v>
      </c>
      <c r="I114" s="6" t="b">
        <f>SUMPRODUCT(--ISNUMBER(SEARCH(CategoriesConfig!C$3:C$12,$B114)))&gt;0</f>
        <v>0</v>
      </c>
      <c r="J114" s="6" t="b">
        <f>SUMPRODUCT(--ISNUMBER(SEARCH(CategoriesConfig!D$3:D$12,$B114)))&gt;0</f>
        <v>1</v>
      </c>
      <c r="K114" s="6" t="b">
        <f>SUMPRODUCT(--ISNUMBER(SEARCH(CategoriesConfig!E$3:E$12,$B114)))&gt;0</f>
        <v>0</v>
      </c>
      <c r="L114" s="6" t="b">
        <f>SUMPRODUCT(--ISNUMBER(SEARCH(CategoriesConfig!F$3:F$12,$B114)))&gt;0</f>
        <v>0</v>
      </c>
      <c r="M114" s="6" t="b">
        <f>SUMPRODUCT(--ISNUMBER(SEARCH(CategoriesConfig!G$3:G$12,$B114)))&gt;0</f>
        <v>0</v>
      </c>
      <c r="N114" s="6" t="b">
        <f>SUMPRODUCT(--ISNUMBER(SEARCH(CategoriesConfig!H$3:H$12,$B114)))&gt;0</f>
        <v>0</v>
      </c>
      <c r="O114" s="6" t="b">
        <f>SUMPRODUCT(--ISNUMBER(SEARCH(CategoriesConfig!I$3:I$12,$B114)))&gt;0</f>
        <v>0</v>
      </c>
      <c r="P114" s="22" t="b">
        <f t="shared" si="6"/>
        <v>0</v>
      </c>
      <c r="Q114" s="22">
        <f t="shared" si="5"/>
        <v>6</v>
      </c>
      <c r="S114" s="6" t="str">
        <f t="shared" si="4"/>
        <v>L</v>
      </c>
    </row>
    <row r="115" spans="1:19" ht="13.5" thickBot="1" x14ac:dyDescent="0.25">
      <c r="A115" s="4">
        <f>DATEVALUE(DataIn!A135)</f>
        <v>42893</v>
      </c>
      <c r="B115" s="5" t="str">
        <f>DataIn!B135</f>
        <v>POS 512967XXXXXX4422 JUST JUICE POS DEBIT</v>
      </c>
      <c r="C115" s="5" t="str">
        <f>DataIn!C135</f>
        <v>0000000000222691</v>
      </c>
      <c r="D115" s="5" t="str">
        <f>DataIn!D135</f>
        <v>07/06/17</v>
      </c>
      <c r="E115" s="5">
        <f>DataIn!E135</f>
        <v>295</v>
      </c>
      <c r="F115" s="5">
        <f>DataIn!F135</f>
        <v>0</v>
      </c>
      <c r="G115" s="5">
        <f>DataIn!G135</f>
        <v>101786.17</v>
      </c>
      <c r="H115" s="6" t="b">
        <f>SUMPRODUCT(--ISNUMBER(SEARCH(CategoriesConfig!B$3:B$12,$B115)))&gt;0</f>
        <v>0</v>
      </c>
      <c r="I115" s="6" t="b">
        <f>SUMPRODUCT(--ISNUMBER(SEARCH(CategoriesConfig!C$3:C$12,$B115)))&gt;0</f>
        <v>0</v>
      </c>
      <c r="J115" s="6" t="b">
        <f>SUMPRODUCT(--ISNUMBER(SEARCH(CategoriesConfig!D$3:D$12,$B115)))&gt;0</f>
        <v>0</v>
      </c>
      <c r="K115" s="6" t="b">
        <f>SUMPRODUCT(--ISNUMBER(SEARCH(CategoriesConfig!E$3:E$12,$B115)))&gt;0</f>
        <v>0</v>
      </c>
      <c r="L115" s="6" t="b">
        <f>SUMPRODUCT(--ISNUMBER(SEARCH(CategoriesConfig!F$3:F$12,$B115)))&gt;0</f>
        <v>0</v>
      </c>
      <c r="M115" s="6" t="b">
        <f>SUMPRODUCT(--ISNUMBER(SEARCH(CategoriesConfig!G$3:G$12,$B115)))&gt;0</f>
        <v>0</v>
      </c>
      <c r="N115" s="6" t="b">
        <f>SUMPRODUCT(--ISNUMBER(SEARCH(CategoriesConfig!H$3:H$12,$B115)))&gt;0</f>
        <v>0</v>
      </c>
      <c r="O115" s="6" t="b">
        <f>SUMPRODUCT(--ISNUMBER(SEARCH(CategoriesConfig!I$3:I$12,$B115)))&gt;0</f>
        <v>0</v>
      </c>
      <c r="P115" s="22" t="b">
        <f t="shared" si="6"/>
        <v>1</v>
      </c>
      <c r="Q115" s="22">
        <f t="shared" si="5"/>
        <v>6</v>
      </c>
      <c r="R115" s="2" t="s">
        <v>221</v>
      </c>
      <c r="S115" s="6" t="str">
        <f t="shared" si="4"/>
        <v>F</v>
      </c>
    </row>
    <row r="116" spans="1:19" ht="13.5" thickBot="1" x14ac:dyDescent="0.25">
      <c r="A116" s="4">
        <f>DATEVALUE(DataIn!A136)</f>
        <v>42894</v>
      </c>
      <c r="B116" s="5" t="str">
        <f>DataIn!B136</f>
        <v>POS 512967XXXXXX4422 ZES*UBER INDIA S POS DEBIT</v>
      </c>
      <c r="C116" s="5" t="str">
        <f>DataIn!C136</f>
        <v>0000715960101029</v>
      </c>
      <c r="D116" s="5" t="str">
        <f>DataIn!D136</f>
        <v>08/06/17</v>
      </c>
      <c r="E116" s="5">
        <f>DataIn!E136</f>
        <v>198.36</v>
      </c>
      <c r="F116" s="5">
        <f>DataIn!F136</f>
        <v>0</v>
      </c>
      <c r="G116" s="5">
        <f>DataIn!G136</f>
        <v>101587.81</v>
      </c>
      <c r="H116" s="6" t="b">
        <f>SUMPRODUCT(--ISNUMBER(SEARCH(CategoriesConfig!B$3:B$12,$B116)))&gt;0</f>
        <v>0</v>
      </c>
      <c r="I116" s="6" t="b">
        <f>SUMPRODUCT(--ISNUMBER(SEARCH(CategoriesConfig!C$3:C$12,$B116)))&gt;0</f>
        <v>1</v>
      </c>
      <c r="J116" s="6" t="b">
        <f>SUMPRODUCT(--ISNUMBER(SEARCH(CategoriesConfig!D$3:D$12,$B116)))&gt;0</f>
        <v>0</v>
      </c>
      <c r="K116" s="6" t="b">
        <f>SUMPRODUCT(--ISNUMBER(SEARCH(CategoriesConfig!E$3:E$12,$B116)))&gt;0</f>
        <v>0</v>
      </c>
      <c r="L116" s="6" t="b">
        <f>SUMPRODUCT(--ISNUMBER(SEARCH(CategoriesConfig!F$3:F$12,$B116)))&gt;0</f>
        <v>0</v>
      </c>
      <c r="M116" s="6" t="b">
        <f>SUMPRODUCT(--ISNUMBER(SEARCH(CategoriesConfig!G$3:G$12,$B116)))&gt;0</f>
        <v>0</v>
      </c>
      <c r="N116" s="6" t="b">
        <f>SUMPRODUCT(--ISNUMBER(SEARCH(CategoriesConfig!H$3:H$12,$B116)))&gt;0</f>
        <v>0</v>
      </c>
      <c r="O116" s="6" t="b">
        <f>SUMPRODUCT(--ISNUMBER(SEARCH(CategoriesConfig!I$3:I$12,$B116)))&gt;0</f>
        <v>0</v>
      </c>
      <c r="P116" s="22" t="b">
        <f t="shared" si="6"/>
        <v>0</v>
      </c>
      <c r="Q116" s="22">
        <f t="shared" si="5"/>
        <v>6</v>
      </c>
      <c r="S116" s="6" t="str">
        <f t="shared" si="4"/>
        <v>U</v>
      </c>
    </row>
    <row r="117" spans="1:19" ht="13.5" thickBot="1" x14ac:dyDescent="0.25">
      <c r="A117" s="4">
        <f>DATEVALUE(DataIn!A137)</f>
        <v>42894</v>
      </c>
      <c r="B117" s="5" t="str">
        <f>DataIn!B137</f>
        <v>POS 512967XXXXXX4422 CELEBRATIONS, POS DEBIT</v>
      </c>
      <c r="C117" s="5" t="str">
        <f>DataIn!C137</f>
        <v>0000000000012890</v>
      </c>
      <c r="D117" s="5" t="str">
        <f>DataIn!D137</f>
        <v>08/06/17</v>
      </c>
      <c r="E117" s="5">
        <f>DataIn!E137</f>
        <v>75</v>
      </c>
      <c r="F117" s="5">
        <f>DataIn!F137</f>
        <v>0</v>
      </c>
      <c r="G117" s="5">
        <f>DataIn!G137</f>
        <v>101512.81</v>
      </c>
      <c r="H117" s="6" t="b">
        <f>SUMPRODUCT(--ISNUMBER(SEARCH(CategoriesConfig!B$3:B$12,$B117)))&gt;0</f>
        <v>0</v>
      </c>
      <c r="I117" s="6" t="b">
        <f>SUMPRODUCT(--ISNUMBER(SEARCH(CategoriesConfig!C$3:C$12,$B117)))&gt;0</f>
        <v>0</v>
      </c>
      <c r="J117" s="6" t="b">
        <f>SUMPRODUCT(--ISNUMBER(SEARCH(CategoriesConfig!D$3:D$12,$B117)))&gt;0</f>
        <v>1</v>
      </c>
      <c r="K117" s="6" t="b">
        <f>SUMPRODUCT(--ISNUMBER(SEARCH(CategoriesConfig!E$3:E$12,$B117)))&gt;0</f>
        <v>0</v>
      </c>
      <c r="L117" s="6" t="b">
        <f>SUMPRODUCT(--ISNUMBER(SEARCH(CategoriesConfig!F$3:F$12,$B117)))&gt;0</f>
        <v>0</v>
      </c>
      <c r="M117" s="6" t="b">
        <f>SUMPRODUCT(--ISNUMBER(SEARCH(CategoriesConfig!G$3:G$12,$B117)))&gt;0</f>
        <v>0</v>
      </c>
      <c r="N117" s="6" t="b">
        <f>SUMPRODUCT(--ISNUMBER(SEARCH(CategoriesConfig!H$3:H$12,$B117)))&gt;0</f>
        <v>0</v>
      </c>
      <c r="O117" s="6" t="b">
        <f>SUMPRODUCT(--ISNUMBER(SEARCH(CategoriesConfig!I$3:I$12,$B117)))&gt;0</f>
        <v>0</v>
      </c>
      <c r="P117" s="22" t="b">
        <f t="shared" si="6"/>
        <v>0</v>
      </c>
      <c r="Q117" s="22">
        <f t="shared" si="5"/>
        <v>6</v>
      </c>
      <c r="S117" s="6" t="str">
        <f t="shared" si="4"/>
        <v>L</v>
      </c>
    </row>
    <row r="118" spans="1:19" ht="13.5" thickBot="1" x14ac:dyDescent="0.25">
      <c r="A118" s="4">
        <f>DATEVALUE(DataIn!A138)</f>
        <v>42894</v>
      </c>
      <c r="B118" s="5" t="str">
        <f>DataIn!B138</f>
        <v>POS 512967XXXXXX4422 CARROT HEALTH AN POS DEBIT</v>
      </c>
      <c r="C118" s="5" t="str">
        <f>DataIn!C138</f>
        <v>0000000000002911</v>
      </c>
      <c r="D118" s="5" t="str">
        <f>DataIn!D138</f>
        <v>08/06/17</v>
      </c>
      <c r="E118" s="5">
        <f>DataIn!E138</f>
        <v>5175</v>
      </c>
      <c r="F118" s="5">
        <f>DataIn!F138</f>
        <v>0</v>
      </c>
      <c r="G118" s="5">
        <f>DataIn!G138</f>
        <v>96337.81</v>
      </c>
      <c r="H118" s="6" t="b">
        <f>SUMPRODUCT(--ISNUMBER(SEARCH(CategoriesConfig!B$3:B$12,$B118)))&gt;0</f>
        <v>0</v>
      </c>
      <c r="I118" s="6" t="b">
        <f>SUMPRODUCT(--ISNUMBER(SEARCH(CategoriesConfig!C$3:C$12,$B118)))&gt;0</f>
        <v>0</v>
      </c>
      <c r="J118" s="6" t="b">
        <f>SUMPRODUCT(--ISNUMBER(SEARCH(CategoriesConfig!D$3:D$12,$B118)))&gt;0</f>
        <v>0</v>
      </c>
      <c r="K118" s="6" t="b">
        <f>SUMPRODUCT(--ISNUMBER(SEARCH(CategoriesConfig!E$3:E$12,$B118)))&gt;0</f>
        <v>0</v>
      </c>
      <c r="L118" s="6" t="b">
        <f>SUMPRODUCT(--ISNUMBER(SEARCH(CategoriesConfig!F$3:F$12,$B118)))&gt;0</f>
        <v>0</v>
      </c>
      <c r="M118" s="6" t="b">
        <f>SUMPRODUCT(--ISNUMBER(SEARCH(CategoriesConfig!G$3:G$12,$B118)))&gt;0</f>
        <v>0</v>
      </c>
      <c r="N118" s="6" t="b">
        <f>SUMPRODUCT(--ISNUMBER(SEARCH(CategoriesConfig!H$3:H$12,$B118)))&gt;0</f>
        <v>0</v>
      </c>
      <c r="O118" s="6" t="b">
        <f>SUMPRODUCT(--ISNUMBER(SEARCH(CategoriesConfig!I$3:I$12,$B118)))&gt;0</f>
        <v>0</v>
      </c>
      <c r="P118" s="22" t="b">
        <f t="shared" si="6"/>
        <v>1</v>
      </c>
      <c r="Q118" s="22">
        <f t="shared" si="5"/>
        <v>6</v>
      </c>
      <c r="R118" s="2" t="s">
        <v>220</v>
      </c>
      <c r="S118" s="6" t="str">
        <f t="shared" si="4"/>
        <v>S</v>
      </c>
    </row>
    <row r="119" spans="1:19" ht="13.5" thickBot="1" x14ac:dyDescent="0.25">
      <c r="A119" s="4">
        <f>DATEVALUE(DataIn!A139)</f>
        <v>42895</v>
      </c>
      <c r="B119" s="5" t="str">
        <f>DataIn!B139</f>
        <v>POS 512967XXXXXX4422 CELEBRATIONS, POS DEBIT</v>
      </c>
      <c r="C119" s="5" t="str">
        <f>DataIn!C139</f>
        <v>0000000000013165</v>
      </c>
      <c r="D119" s="5" t="str">
        <f>DataIn!D139</f>
        <v>09/06/17</v>
      </c>
      <c r="E119" s="5">
        <f>DataIn!E139</f>
        <v>75</v>
      </c>
      <c r="F119" s="5">
        <f>DataIn!F139</f>
        <v>0</v>
      </c>
      <c r="G119" s="5">
        <f>DataIn!G139</f>
        <v>96262.81</v>
      </c>
      <c r="H119" s="6" t="b">
        <f>SUMPRODUCT(--ISNUMBER(SEARCH(CategoriesConfig!B$3:B$12,$B119)))&gt;0</f>
        <v>0</v>
      </c>
      <c r="I119" s="6" t="b">
        <f>SUMPRODUCT(--ISNUMBER(SEARCH(CategoriesConfig!C$3:C$12,$B119)))&gt;0</f>
        <v>0</v>
      </c>
      <c r="J119" s="6" t="b">
        <f>SUMPRODUCT(--ISNUMBER(SEARCH(CategoriesConfig!D$3:D$12,$B119)))&gt;0</f>
        <v>1</v>
      </c>
      <c r="K119" s="6" t="b">
        <f>SUMPRODUCT(--ISNUMBER(SEARCH(CategoriesConfig!E$3:E$12,$B119)))&gt;0</f>
        <v>0</v>
      </c>
      <c r="L119" s="6" t="b">
        <f>SUMPRODUCT(--ISNUMBER(SEARCH(CategoriesConfig!F$3:F$12,$B119)))&gt;0</f>
        <v>0</v>
      </c>
      <c r="M119" s="6" t="b">
        <f>SUMPRODUCT(--ISNUMBER(SEARCH(CategoriesConfig!G$3:G$12,$B119)))&gt;0</f>
        <v>0</v>
      </c>
      <c r="N119" s="6" t="b">
        <f>SUMPRODUCT(--ISNUMBER(SEARCH(CategoriesConfig!H$3:H$12,$B119)))&gt;0</f>
        <v>0</v>
      </c>
      <c r="O119" s="6" t="b">
        <f>SUMPRODUCT(--ISNUMBER(SEARCH(CategoriesConfig!I$3:I$12,$B119)))&gt;0</f>
        <v>0</v>
      </c>
      <c r="P119" s="22" t="b">
        <f t="shared" si="6"/>
        <v>0</v>
      </c>
      <c r="Q119" s="22">
        <f t="shared" si="5"/>
        <v>6</v>
      </c>
      <c r="S119" s="6" t="str">
        <f t="shared" si="4"/>
        <v>L</v>
      </c>
    </row>
    <row r="120" spans="1:19" ht="13.5" thickBot="1" x14ac:dyDescent="0.25">
      <c r="A120" s="4">
        <f>DATEVALUE(DataIn!A140)</f>
        <v>42895</v>
      </c>
      <c r="B120" s="5" t="str">
        <f>DataIn!B140</f>
        <v>POS 512967XXXXXX4422 ZES*UBER INDIA S POS DEBIT</v>
      </c>
      <c r="C120" s="5" t="str">
        <f>DataIn!C140</f>
        <v>0000716060202852</v>
      </c>
      <c r="D120" s="5" t="str">
        <f>DataIn!D140</f>
        <v>09/06/17</v>
      </c>
      <c r="E120" s="5">
        <f>DataIn!E140</f>
        <v>163.37</v>
      </c>
      <c r="F120" s="5">
        <f>DataIn!F140</f>
        <v>0</v>
      </c>
      <c r="G120" s="5">
        <f>DataIn!G140</f>
        <v>96099.44</v>
      </c>
      <c r="H120" s="6" t="b">
        <f>SUMPRODUCT(--ISNUMBER(SEARCH(CategoriesConfig!B$3:B$12,$B120)))&gt;0</f>
        <v>0</v>
      </c>
      <c r="I120" s="6" t="b">
        <f>SUMPRODUCT(--ISNUMBER(SEARCH(CategoriesConfig!C$3:C$12,$B120)))&gt;0</f>
        <v>1</v>
      </c>
      <c r="J120" s="6" t="b">
        <f>SUMPRODUCT(--ISNUMBER(SEARCH(CategoriesConfig!D$3:D$12,$B120)))&gt;0</f>
        <v>0</v>
      </c>
      <c r="K120" s="6" t="b">
        <f>SUMPRODUCT(--ISNUMBER(SEARCH(CategoriesConfig!E$3:E$12,$B120)))&gt;0</f>
        <v>0</v>
      </c>
      <c r="L120" s="6" t="b">
        <f>SUMPRODUCT(--ISNUMBER(SEARCH(CategoriesConfig!F$3:F$12,$B120)))&gt;0</f>
        <v>0</v>
      </c>
      <c r="M120" s="6" t="b">
        <f>SUMPRODUCT(--ISNUMBER(SEARCH(CategoriesConfig!G$3:G$12,$B120)))&gt;0</f>
        <v>0</v>
      </c>
      <c r="N120" s="6" t="b">
        <f>SUMPRODUCT(--ISNUMBER(SEARCH(CategoriesConfig!H$3:H$12,$B120)))&gt;0</f>
        <v>0</v>
      </c>
      <c r="O120" s="6" t="b">
        <f>SUMPRODUCT(--ISNUMBER(SEARCH(CategoriesConfig!I$3:I$12,$B120)))&gt;0</f>
        <v>0</v>
      </c>
      <c r="P120" s="22" t="b">
        <f t="shared" si="6"/>
        <v>0</v>
      </c>
      <c r="Q120" s="22">
        <f t="shared" si="5"/>
        <v>6</v>
      </c>
      <c r="S120" s="6" t="str">
        <f t="shared" si="4"/>
        <v>U</v>
      </c>
    </row>
    <row r="121" spans="1:19" ht="13.5" thickBot="1" x14ac:dyDescent="0.25">
      <c r="A121" s="4">
        <f>DATEVALUE(DataIn!A141)</f>
        <v>42896</v>
      </c>
      <c r="B121" s="5" t="str">
        <f>DataIn!B141</f>
        <v>POS 512967XXXXXX4422 ZES*UBER INDIA S POS DEBIT</v>
      </c>
      <c r="C121" s="5" t="str">
        <f>DataIn!C141</f>
        <v>0000716140053906</v>
      </c>
      <c r="D121" s="5" t="str">
        <f>DataIn!D141</f>
        <v>10/06/17</v>
      </c>
      <c r="E121" s="5">
        <f>DataIn!E141</f>
        <v>99.72</v>
      </c>
      <c r="F121" s="5">
        <f>DataIn!F141</f>
        <v>0</v>
      </c>
      <c r="G121" s="5">
        <f>DataIn!G141</f>
        <v>95999.72</v>
      </c>
      <c r="H121" s="6" t="b">
        <f>SUMPRODUCT(--ISNUMBER(SEARCH(CategoriesConfig!B$3:B$12,$B121)))&gt;0</f>
        <v>0</v>
      </c>
      <c r="I121" s="6" t="b">
        <f>SUMPRODUCT(--ISNUMBER(SEARCH(CategoriesConfig!C$3:C$12,$B121)))&gt;0</f>
        <v>1</v>
      </c>
      <c r="J121" s="6" t="b">
        <f>SUMPRODUCT(--ISNUMBER(SEARCH(CategoriesConfig!D$3:D$12,$B121)))&gt;0</f>
        <v>0</v>
      </c>
      <c r="K121" s="6" t="b">
        <f>SUMPRODUCT(--ISNUMBER(SEARCH(CategoriesConfig!E$3:E$12,$B121)))&gt;0</f>
        <v>0</v>
      </c>
      <c r="L121" s="6" t="b">
        <f>SUMPRODUCT(--ISNUMBER(SEARCH(CategoriesConfig!F$3:F$12,$B121)))&gt;0</f>
        <v>0</v>
      </c>
      <c r="M121" s="6" t="b">
        <f>SUMPRODUCT(--ISNUMBER(SEARCH(CategoriesConfig!G$3:G$12,$B121)))&gt;0</f>
        <v>0</v>
      </c>
      <c r="N121" s="6" t="b">
        <f>SUMPRODUCT(--ISNUMBER(SEARCH(CategoriesConfig!H$3:H$12,$B121)))&gt;0</f>
        <v>0</v>
      </c>
      <c r="O121" s="6" t="b">
        <f>SUMPRODUCT(--ISNUMBER(SEARCH(CategoriesConfig!I$3:I$12,$B121)))&gt;0</f>
        <v>0</v>
      </c>
      <c r="P121" s="22" t="b">
        <f t="shared" si="6"/>
        <v>0</v>
      </c>
      <c r="Q121" s="22">
        <f t="shared" si="5"/>
        <v>6</v>
      </c>
      <c r="S121" s="6" t="str">
        <f t="shared" si="4"/>
        <v>U</v>
      </c>
    </row>
    <row r="122" spans="1:19" ht="13.5" thickBot="1" x14ac:dyDescent="0.25">
      <c r="A122" s="4">
        <f>DATEVALUE(DataIn!A142)</f>
        <v>42896</v>
      </c>
      <c r="B122" s="5" t="str">
        <f>DataIn!B142</f>
        <v>POS 512967XXXXXX4422 TATA STARBUCKS, POS DEBIT</v>
      </c>
      <c r="C122" s="5" t="str">
        <f>DataIn!C142</f>
        <v>0000000000058916</v>
      </c>
      <c r="D122" s="5" t="str">
        <f>DataIn!D142</f>
        <v>10/06/17</v>
      </c>
      <c r="E122" s="5">
        <f>DataIn!E142</f>
        <v>292</v>
      </c>
      <c r="F122" s="5">
        <f>DataIn!F142</f>
        <v>0</v>
      </c>
      <c r="G122" s="5">
        <f>DataIn!G142</f>
        <v>95707.72</v>
      </c>
      <c r="H122" s="6" t="b">
        <f>SUMPRODUCT(--ISNUMBER(SEARCH(CategoriesConfig!B$3:B$12,$B122)))&gt;0</f>
        <v>0</v>
      </c>
      <c r="I122" s="6" t="b">
        <f>SUMPRODUCT(--ISNUMBER(SEARCH(CategoriesConfig!C$3:C$12,$B122)))&gt;0</f>
        <v>0</v>
      </c>
      <c r="J122" s="6" t="b">
        <f>SUMPRODUCT(--ISNUMBER(SEARCH(CategoriesConfig!D$3:D$12,$B122)))&gt;0</f>
        <v>0</v>
      </c>
      <c r="K122" s="6" t="b">
        <f>SUMPRODUCT(--ISNUMBER(SEARCH(CategoriesConfig!E$3:E$12,$B122)))&gt;0</f>
        <v>0</v>
      </c>
      <c r="L122" s="6" t="b">
        <f>SUMPRODUCT(--ISNUMBER(SEARCH(CategoriesConfig!F$3:F$12,$B122)))&gt;0</f>
        <v>1</v>
      </c>
      <c r="M122" s="6" t="b">
        <f>SUMPRODUCT(--ISNUMBER(SEARCH(CategoriesConfig!G$3:G$12,$B122)))&gt;0</f>
        <v>0</v>
      </c>
      <c r="N122" s="6" t="b">
        <f>SUMPRODUCT(--ISNUMBER(SEARCH(CategoriesConfig!H$3:H$12,$B122)))&gt;0</f>
        <v>0</v>
      </c>
      <c r="O122" s="6" t="b">
        <f>SUMPRODUCT(--ISNUMBER(SEARCH(CategoriesConfig!I$3:I$12,$B122)))&gt;0</f>
        <v>0</v>
      </c>
      <c r="P122" s="22" t="b">
        <f t="shared" si="6"/>
        <v>0</v>
      </c>
      <c r="Q122" s="22">
        <f t="shared" si="5"/>
        <v>6</v>
      </c>
      <c r="R122" s="2" t="s">
        <v>221</v>
      </c>
      <c r="S122" s="6" t="str">
        <f t="shared" si="4"/>
        <v>F</v>
      </c>
    </row>
    <row r="123" spans="1:19" ht="13.5" thickBot="1" x14ac:dyDescent="0.25">
      <c r="A123" s="4">
        <f>DATEVALUE(DataIn!A143)</f>
        <v>42896</v>
      </c>
      <c r="B123" s="5" t="str">
        <f>DataIn!B143</f>
        <v>POS 512967XXXXXX4422 MC DONALDS. POS DEBIT</v>
      </c>
      <c r="C123" s="5" t="str">
        <f>DataIn!C143</f>
        <v>0000000000057254</v>
      </c>
      <c r="D123" s="5" t="str">
        <f>DataIn!D143</f>
        <v>10/06/17</v>
      </c>
      <c r="E123" s="5">
        <f>DataIn!E143</f>
        <v>380.15</v>
      </c>
      <c r="F123" s="5">
        <f>DataIn!F143</f>
        <v>0</v>
      </c>
      <c r="G123" s="5">
        <f>DataIn!G143</f>
        <v>95327.57</v>
      </c>
      <c r="H123" s="6" t="b">
        <f>SUMPRODUCT(--ISNUMBER(SEARCH(CategoriesConfig!B$3:B$12,$B123)))&gt;0</f>
        <v>0</v>
      </c>
      <c r="I123" s="6" t="b">
        <f>SUMPRODUCT(--ISNUMBER(SEARCH(CategoriesConfig!C$3:C$12,$B123)))&gt;0</f>
        <v>0</v>
      </c>
      <c r="J123" s="6" t="b">
        <f>SUMPRODUCT(--ISNUMBER(SEARCH(CategoriesConfig!D$3:D$12,$B123)))&gt;0</f>
        <v>0</v>
      </c>
      <c r="K123" s="6" t="b">
        <f>SUMPRODUCT(--ISNUMBER(SEARCH(CategoriesConfig!E$3:E$12,$B123)))&gt;0</f>
        <v>0</v>
      </c>
      <c r="L123" s="6" t="b">
        <f>SUMPRODUCT(--ISNUMBER(SEARCH(CategoriesConfig!F$3:F$12,$B123)))&gt;0</f>
        <v>1</v>
      </c>
      <c r="M123" s="6" t="b">
        <f>SUMPRODUCT(--ISNUMBER(SEARCH(CategoriesConfig!G$3:G$12,$B123)))&gt;0</f>
        <v>0</v>
      </c>
      <c r="N123" s="6" t="b">
        <f>SUMPRODUCT(--ISNUMBER(SEARCH(CategoriesConfig!H$3:H$12,$B123)))&gt;0</f>
        <v>0</v>
      </c>
      <c r="O123" s="6" t="b">
        <f>SUMPRODUCT(--ISNUMBER(SEARCH(CategoriesConfig!I$3:I$12,$B123)))&gt;0</f>
        <v>0</v>
      </c>
      <c r="P123" s="22" t="b">
        <f t="shared" si="6"/>
        <v>0</v>
      </c>
      <c r="Q123" s="22">
        <f t="shared" si="5"/>
        <v>6</v>
      </c>
      <c r="S123" s="6" t="str">
        <f t="shared" si="4"/>
        <v>F</v>
      </c>
    </row>
    <row r="124" spans="1:19" ht="13.5" thickBot="1" x14ac:dyDescent="0.25">
      <c r="A124" s="4">
        <f>DATEVALUE(DataIn!A144)</f>
        <v>42896</v>
      </c>
      <c r="B124" s="5" t="str">
        <f>DataIn!B144</f>
        <v>POS 512967XXXXXX4422 ZES*UBER INDIA S POS DEBIT</v>
      </c>
      <c r="C124" s="5" t="str">
        <f>DataIn!C144</f>
        <v>0000716100205727</v>
      </c>
      <c r="D124" s="5" t="str">
        <f>DataIn!D144</f>
        <v>10/06/17</v>
      </c>
      <c r="E124" s="5">
        <f>DataIn!E144</f>
        <v>166.13</v>
      </c>
      <c r="F124" s="5">
        <f>DataIn!F144</f>
        <v>0</v>
      </c>
      <c r="G124" s="5">
        <f>DataIn!G144</f>
        <v>95161.44</v>
      </c>
      <c r="H124" s="6" t="b">
        <f>SUMPRODUCT(--ISNUMBER(SEARCH(CategoriesConfig!B$3:B$12,$B124)))&gt;0</f>
        <v>0</v>
      </c>
      <c r="I124" s="6" t="b">
        <f>SUMPRODUCT(--ISNUMBER(SEARCH(CategoriesConfig!C$3:C$12,$B124)))&gt;0</f>
        <v>1</v>
      </c>
      <c r="J124" s="6" t="b">
        <f>SUMPRODUCT(--ISNUMBER(SEARCH(CategoriesConfig!D$3:D$12,$B124)))&gt;0</f>
        <v>0</v>
      </c>
      <c r="K124" s="6" t="b">
        <f>SUMPRODUCT(--ISNUMBER(SEARCH(CategoriesConfig!E$3:E$12,$B124)))&gt;0</f>
        <v>0</v>
      </c>
      <c r="L124" s="6" t="b">
        <f>SUMPRODUCT(--ISNUMBER(SEARCH(CategoriesConfig!F$3:F$12,$B124)))&gt;0</f>
        <v>0</v>
      </c>
      <c r="M124" s="6" t="b">
        <f>SUMPRODUCT(--ISNUMBER(SEARCH(CategoriesConfig!G$3:G$12,$B124)))&gt;0</f>
        <v>0</v>
      </c>
      <c r="N124" s="6" t="b">
        <f>SUMPRODUCT(--ISNUMBER(SEARCH(CategoriesConfig!H$3:H$12,$B124)))&gt;0</f>
        <v>0</v>
      </c>
      <c r="O124" s="6" t="b">
        <f>SUMPRODUCT(--ISNUMBER(SEARCH(CategoriesConfig!I$3:I$12,$B124)))&gt;0</f>
        <v>0</v>
      </c>
      <c r="P124" s="22" t="b">
        <f t="shared" si="6"/>
        <v>0</v>
      </c>
      <c r="Q124" s="22">
        <f t="shared" si="5"/>
        <v>6</v>
      </c>
      <c r="S124" s="6" t="str">
        <f t="shared" si="4"/>
        <v>U</v>
      </c>
    </row>
    <row r="125" spans="1:19" ht="13.5" thickBot="1" x14ac:dyDescent="0.25">
      <c r="A125" s="4">
        <f>DATEVALUE(DataIn!A145)</f>
        <v>42896</v>
      </c>
      <c r="B125" s="5" t="str">
        <f>DataIn!B145</f>
        <v>POS 512967XXXXXX4422 PLAN B POS DEBIT</v>
      </c>
      <c r="C125" s="5" t="str">
        <f>DataIn!C145</f>
        <v>0000000000531528</v>
      </c>
      <c r="D125" s="5" t="str">
        <f>DataIn!D145</f>
        <v>10/06/17</v>
      </c>
      <c r="E125" s="5">
        <f>DataIn!E145</f>
        <v>1541</v>
      </c>
      <c r="F125" s="5">
        <f>DataIn!F145</f>
        <v>0</v>
      </c>
      <c r="G125" s="5">
        <f>DataIn!G145</f>
        <v>93620.44</v>
      </c>
      <c r="H125" s="6" t="b">
        <f>SUMPRODUCT(--ISNUMBER(SEARCH(CategoriesConfig!B$3:B$12,$B125)))&gt;0</f>
        <v>0</v>
      </c>
      <c r="I125" s="6" t="b">
        <f>SUMPRODUCT(--ISNUMBER(SEARCH(CategoriesConfig!C$3:C$12,$B125)))&gt;0</f>
        <v>0</v>
      </c>
      <c r="J125" s="6" t="b">
        <f>SUMPRODUCT(--ISNUMBER(SEARCH(CategoriesConfig!D$3:D$12,$B125)))&gt;0</f>
        <v>0</v>
      </c>
      <c r="K125" s="6" t="b">
        <f>SUMPRODUCT(--ISNUMBER(SEARCH(CategoriesConfig!E$3:E$12,$B125)))&gt;0</f>
        <v>0</v>
      </c>
      <c r="L125" s="6" t="b">
        <f>SUMPRODUCT(--ISNUMBER(SEARCH(CategoriesConfig!F$3:F$12,$B125)))&gt;0</f>
        <v>1</v>
      </c>
      <c r="M125" s="6" t="b">
        <f>SUMPRODUCT(--ISNUMBER(SEARCH(CategoriesConfig!G$3:G$12,$B125)))&gt;0</f>
        <v>0</v>
      </c>
      <c r="N125" s="6" t="b">
        <f>SUMPRODUCT(--ISNUMBER(SEARCH(CategoriesConfig!H$3:H$12,$B125)))&gt;0</f>
        <v>0</v>
      </c>
      <c r="O125" s="6" t="b">
        <f>SUMPRODUCT(--ISNUMBER(SEARCH(CategoriesConfig!I$3:I$12,$B125)))&gt;0</f>
        <v>0</v>
      </c>
      <c r="P125" s="22" t="b">
        <f t="shared" si="6"/>
        <v>0</v>
      </c>
      <c r="Q125" s="22">
        <f t="shared" si="5"/>
        <v>6</v>
      </c>
      <c r="S125" s="6" t="str">
        <f t="shared" si="4"/>
        <v>F</v>
      </c>
    </row>
    <row r="126" spans="1:19" ht="13.5" thickBot="1" x14ac:dyDescent="0.25">
      <c r="A126" s="4">
        <f>DATEVALUE(DataIn!A146)</f>
        <v>42897</v>
      </c>
      <c r="B126" s="5" t="str">
        <f>DataIn!B146</f>
        <v>POS 512967XXXXXX4422 THE BULL RING POS DEBIT</v>
      </c>
      <c r="C126" s="5" t="str">
        <f>DataIn!C146</f>
        <v>0000000000878500</v>
      </c>
      <c r="D126" s="5" t="str">
        <f>DataIn!D146</f>
        <v>11/06/17</v>
      </c>
      <c r="E126" s="5">
        <f>DataIn!E146</f>
        <v>200</v>
      </c>
      <c r="F126" s="5">
        <f>DataIn!F146</f>
        <v>0</v>
      </c>
      <c r="G126" s="5">
        <f>DataIn!G146</f>
        <v>93420.44</v>
      </c>
      <c r="H126" s="6" t="b">
        <f>SUMPRODUCT(--ISNUMBER(SEARCH(CategoriesConfig!B$3:B$12,$B126)))&gt;0</f>
        <v>0</v>
      </c>
      <c r="I126" s="6" t="b">
        <f>SUMPRODUCT(--ISNUMBER(SEARCH(CategoriesConfig!C$3:C$12,$B126)))&gt;0</f>
        <v>0</v>
      </c>
      <c r="J126" s="6" t="b">
        <f>SUMPRODUCT(--ISNUMBER(SEARCH(CategoriesConfig!D$3:D$12,$B126)))&gt;0</f>
        <v>0</v>
      </c>
      <c r="K126" s="6" t="b">
        <f>SUMPRODUCT(--ISNUMBER(SEARCH(CategoriesConfig!E$3:E$12,$B126)))&gt;0</f>
        <v>0</v>
      </c>
      <c r="L126" s="6" t="b">
        <f>SUMPRODUCT(--ISNUMBER(SEARCH(CategoriesConfig!F$3:F$12,$B126)))&gt;0</f>
        <v>0</v>
      </c>
      <c r="M126" s="6" t="b">
        <f>SUMPRODUCT(--ISNUMBER(SEARCH(CategoriesConfig!G$3:G$12,$B126)))&gt;0</f>
        <v>1</v>
      </c>
      <c r="N126" s="6" t="b">
        <f>SUMPRODUCT(--ISNUMBER(SEARCH(CategoriesConfig!H$3:H$12,$B126)))&gt;0</f>
        <v>0</v>
      </c>
      <c r="O126" s="6" t="b">
        <f>SUMPRODUCT(--ISNUMBER(SEARCH(CategoriesConfig!I$3:I$12,$B126)))&gt;0</f>
        <v>0</v>
      </c>
      <c r="P126" s="22" t="b">
        <f t="shared" si="6"/>
        <v>0</v>
      </c>
      <c r="Q126" s="22">
        <f t="shared" si="5"/>
        <v>6</v>
      </c>
      <c r="S126" s="6" t="str">
        <f t="shared" si="4"/>
        <v>M</v>
      </c>
    </row>
    <row r="127" spans="1:19" ht="13.5" thickBot="1" x14ac:dyDescent="0.25">
      <c r="A127" s="4">
        <f>DATEVALUE(DataIn!A147)</f>
        <v>42897</v>
      </c>
      <c r="B127" s="5" t="str">
        <f>DataIn!B147</f>
        <v>NWD-512967XXXXXX4422-SACWG628-BANGLORE</v>
      </c>
      <c r="C127" s="5" t="str">
        <f>DataIn!C147</f>
        <v>0000716220007189</v>
      </c>
      <c r="D127" s="5" t="str">
        <f>DataIn!D147</f>
        <v>11/06/17</v>
      </c>
      <c r="E127" s="5">
        <f>DataIn!E147</f>
        <v>10000</v>
      </c>
      <c r="F127" s="5">
        <f>DataIn!F147</f>
        <v>0</v>
      </c>
      <c r="G127" s="5">
        <f>DataIn!G147</f>
        <v>83420.44</v>
      </c>
      <c r="H127" s="6" t="b">
        <f>SUMPRODUCT(--ISNUMBER(SEARCH(CategoriesConfig!B$3:B$12,$B127)))&gt;0</f>
        <v>0</v>
      </c>
      <c r="I127" s="6" t="b">
        <f>SUMPRODUCT(--ISNUMBER(SEARCH(CategoriesConfig!C$3:C$12,$B127)))&gt;0</f>
        <v>0</v>
      </c>
      <c r="J127" s="6" t="b">
        <f>SUMPRODUCT(--ISNUMBER(SEARCH(CategoriesConfig!D$3:D$12,$B127)))&gt;0</f>
        <v>0</v>
      </c>
      <c r="K127" s="6" t="b">
        <f>SUMPRODUCT(--ISNUMBER(SEARCH(CategoriesConfig!E$3:E$12,$B127)))&gt;0</f>
        <v>0</v>
      </c>
      <c r="L127" s="6" t="b">
        <f>SUMPRODUCT(--ISNUMBER(SEARCH(CategoriesConfig!F$3:F$12,$B127)))&gt;0</f>
        <v>0</v>
      </c>
      <c r="M127" s="6" t="b">
        <f>SUMPRODUCT(--ISNUMBER(SEARCH(CategoriesConfig!G$3:G$12,$B127)))&gt;0</f>
        <v>0</v>
      </c>
      <c r="N127" s="6" t="b">
        <f>SUMPRODUCT(--ISNUMBER(SEARCH(CategoriesConfig!H$3:H$12,$B127)))&gt;0</f>
        <v>1</v>
      </c>
      <c r="O127" s="6" t="b">
        <f>SUMPRODUCT(--ISNUMBER(SEARCH(CategoriesConfig!I$3:I$12,$B127)))&gt;0</f>
        <v>0</v>
      </c>
      <c r="P127" s="22" t="b">
        <f t="shared" si="6"/>
        <v>0</v>
      </c>
      <c r="Q127" s="22">
        <f t="shared" si="5"/>
        <v>6</v>
      </c>
      <c r="S127" s="6" t="str">
        <f t="shared" si="4"/>
        <v>C</v>
      </c>
    </row>
    <row r="128" spans="1:19" ht="13.5" thickBot="1" x14ac:dyDescent="0.25">
      <c r="A128" s="4">
        <f>DATEVALUE(DataIn!A148)</f>
        <v>42898</v>
      </c>
      <c r="B128" s="5" t="str">
        <f>DataIn!B148</f>
        <v>POS 512967XXXXXX4422 CELEBRATIONS, POS DEBIT</v>
      </c>
      <c r="C128" s="5" t="str">
        <f>DataIn!C148</f>
        <v>0000000000013492</v>
      </c>
      <c r="D128" s="5" t="str">
        <f>DataIn!D148</f>
        <v>12/06/17</v>
      </c>
      <c r="E128" s="5">
        <f>DataIn!E148</f>
        <v>75</v>
      </c>
      <c r="F128" s="5">
        <f>DataIn!F148</f>
        <v>0</v>
      </c>
      <c r="G128" s="5">
        <f>DataIn!G148</f>
        <v>83345.440000000002</v>
      </c>
      <c r="H128" s="6" t="b">
        <f>SUMPRODUCT(--ISNUMBER(SEARCH(CategoriesConfig!B$3:B$12,$B128)))&gt;0</f>
        <v>0</v>
      </c>
      <c r="I128" s="6" t="b">
        <f>SUMPRODUCT(--ISNUMBER(SEARCH(CategoriesConfig!C$3:C$12,$B128)))&gt;0</f>
        <v>0</v>
      </c>
      <c r="J128" s="6" t="b">
        <f>SUMPRODUCT(--ISNUMBER(SEARCH(CategoriesConfig!D$3:D$12,$B128)))&gt;0</f>
        <v>1</v>
      </c>
      <c r="K128" s="6" t="b">
        <f>SUMPRODUCT(--ISNUMBER(SEARCH(CategoriesConfig!E$3:E$12,$B128)))&gt;0</f>
        <v>0</v>
      </c>
      <c r="L128" s="6" t="b">
        <f>SUMPRODUCT(--ISNUMBER(SEARCH(CategoriesConfig!F$3:F$12,$B128)))&gt;0</f>
        <v>0</v>
      </c>
      <c r="M128" s="6" t="b">
        <f>SUMPRODUCT(--ISNUMBER(SEARCH(CategoriesConfig!G$3:G$12,$B128)))&gt;0</f>
        <v>0</v>
      </c>
      <c r="N128" s="6" t="b">
        <f>SUMPRODUCT(--ISNUMBER(SEARCH(CategoriesConfig!H$3:H$12,$B128)))&gt;0</f>
        <v>0</v>
      </c>
      <c r="O128" s="6" t="b">
        <f>SUMPRODUCT(--ISNUMBER(SEARCH(CategoriesConfig!I$3:I$12,$B128)))&gt;0</f>
        <v>0</v>
      </c>
      <c r="P128" s="22" t="b">
        <f t="shared" si="6"/>
        <v>0</v>
      </c>
      <c r="Q128" s="22">
        <f t="shared" si="5"/>
        <v>6</v>
      </c>
      <c r="S128" s="6" t="str">
        <f t="shared" si="4"/>
        <v>L</v>
      </c>
    </row>
    <row r="129" spans="1:19" ht="13.5" thickBot="1" x14ac:dyDescent="0.25">
      <c r="A129" s="4">
        <f>DATEVALUE(DataIn!A149)</f>
        <v>42898</v>
      </c>
      <c r="B129" s="5" t="str">
        <f>DataIn!B149</f>
        <v>POS 512967XXXXXX4422 HYPERCITY RETAIL POS DEBIT</v>
      </c>
      <c r="C129" s="5" t="str">
        <f>DataIn!C149</f>
        <v>0000000000004838</v>
      </c>
      <c r="D129" s="5" t="str">
        <f>DataIn!D149</f>
        <v>12/06/17</v>
      </c>
      <c r="E129" s="5">
        <f>DataIn!E149</f>
        <v>189</v>
      </c>
      <c r="F129" s="5">
        <f>DataIn!F149</f>
        <v>0</v>
      </c>
      <c r="G129" s="5">
        <f>DataIn!G149</f>
        <v>83156.44</v>
      </c>
      <c r="H129" s="6" t="b">
        <f>SUMPRODUCT(--ISNUMBER(SEARCH(CategoriesConfig!B$3:B$12,$B129)))&gt;0</f>
        <v>0</v>
      </c>
      <c r="I129" s="6" t="b">
        <f>SUMPRODUCT(--ISNUMBER(SEARCH(CategoriesConfig!C$3:C$12,$B129)))&gt;0</f>
        <v>0</v>
      </c>
      <c r="J129" s="6" t="b">
        <f>SUMPRODUCT(--ISNUMBER(SEARCH(CategoriesConfig!D$3:D$12,$B129)))&gt;0</f>
        <v>0</v>
      </c>
      <c r="K129" s="6" t="b">
        <f>SUMPRODUCT(--ISNUMBER(SEARCH(CategoriesConfig!E$3:E$12,$B129)))&gt;0</f>
        <v>0</v>
      </c>
      <c r="L129" s="6" t="b">
        <f>SUMPRODUCT(--ISNUMBER(SEARCH(CategoriesConfig!F$3:F$12,$B129)))&gt;0</f>
        <v>0</v>
      </c>
      <c r="M129" s="6" t="b">
        <f>SUMPRODUCT(--ISNUMBER(SEARCH(CategoriesConfig!G$3:G$12,$B129)))&gt;0</f>
        <v>1</v>
      </c>
      <c r="N129" s="6" t="b">
        <f>SUMPRODUCT(--ISNUMBER(SEARCH(CategoriesConfig!H$3:H$12,$B129)))&gt;0</f>
        <v>0</v>
      </c>
      <c r="O129" s="6" t="b">
        <f>SUMPRODUCT(--ISNUMBER(SEARCH(CategoriesConfig!I$3:I$12,$B129)))&gt;0</f>
        <v>0</v>
      </c>
      <c r="P129" s="22" t="b">
        <f t="shared" si="6"/>
        <v>0</v>
      </c>
      <c r="Q129" s="22">
        <f t="shared" si="5"/>
        <v>6</v>
      </c>
      <c r="S129" s="6" t="str">
        <f t="shared" si="4"/>
        <v>M</v>
      </c>
    </row>
    <row r="130" spans="1:19" ht="13.5" thickBot="1" x14ac:dyDescent="0.25">
      <c r="A130" s="4">
        <f>DATEVALUE(DataIn!A150)</f>
        <v>42899</v>
      </c>
      <c r="B130" s="5" t="str">
        <f>DataIn!B150</f>
        <v>POS 512967XXXXXX4422 ZES*UBER INDIA S POS DEBIT</v>
      </c>
      <c r="C130" s="5" t="str">
        <f>DataIn!C150</f>
        <v>0000716400022264</v>
      </c>
      <c r="D130" s="5" t="str">
        <f>DataIn!D150</f>
        <v>13/06/17</v>
      </c>
      <c r="E130" s="5">
        <f>DataIn!E150</f>
        <v>207.18</v>
      </c>
      <c r="F130" s="5">
        <f>DataIn!F150</f>
        <v>0</v>
      </c>
      <c r="G130" s="5">
        <f>DataIn!G150</f>
        <v>82949.259999999995</v>
      </c>
      <c r="H130" s="6" t="b">
        <f>SUMPRODUCT(--ISNUMBER(SEARCH(CategoriesConfig!B$3:B$12,$B130)))&gt;0</f>
        <v>0</v>
      </c>
      <c r="I130" s="6" t="b">
        <f>SUMPRODUCT(--ISNUMBER(SEARCH(CategoriesConfig!C$3:C$12,$B130)))&gt;0</f>
        <v>1</v>
      </c>
      <c r="J130" s="6" t="b">
        <f>SUMPRODUCT(--ISNUMBER(SEARCH(CategoriesConfig!D$3:D$12,$B130)))&gt;0</f>
        <v>0</v>
      </c>
      <c r="K130" s="6" t="b">
        <f>SUMPRODUCT(--ISNUMBER(SEARCH(CategoriesConfig!E$3:E$12,$B130)))&gt;0</f>
        <v>0</v>
      </c>
      <c r="L130" s="6" t="b">
        <f>SUMPRODUCT(--ISNUMBER(SEARCH(CategoriesConfig!F$3:F$12,$B130)))&gt;0</f>
        <v>0</v>
      </c>
      <c r="M130" s="6" t="b">
        <f>SUMPRODUCT(--ISNUMBER(SEARCH(CategoriesConfig!G$3:G$12,$B130)))&gt;0</f>
        <v>0</v>
      </c>
      <c r="N130" s="6" t="b">
        <f>SUMPRODUCT(--ISNUMBER(SEARCH(CategoriesConfig!H$3:H$12,$B130)))&gt;0</f>
        <v>0</v>
      </c>
      <c r="O130" s="6" t="b">
        <f>SUMPRODUCT(--ISNUMBER(SEARCH(CategoriesConfig!I$3:I$12,$B130)))&gt;0</f>
        <v>0</v>
      </c>
      <c r="P130" s="22" t="b">
        <f t="shared" si="6"/>
        <v>0</v>
      </c>
      <c r="Q130" s="22">
        <f t="shared" si="5"/>
        <v>6</v>
      </c>
      <c r="S130" s="6" t="str">
        <f t="shared" si="4"/>
        <v>U</v>
      </c>
    </row>
    <row r="131" spans="1:19" ht="13.5" thickBot="1" x14ac:dyDescent="0.25">
      <c r="A131" s="4">
        <f>DATEVALUE(DataIn!A151)</f>
        <v>42899</v>
      </c>
      <c r="B131" s="5" t="str">
        <f>DataIn!B151</f>
        <v>POS 512967XXXXXX4422 ZES*UBER INDIA S POS DEBIT</v>
      </c>
      <c r="C131" s="5" t="str">
        <f>DataIn!C151</f>
        <v>0000716460040548</v>
      </c>
      <c r="D131" s="5" t="str">
        <f>DataIn!D151</f>
        <v>13/06/17</v>
      </c>
      <c r="E131" s="5">
        <f>DataIn!E151</f>
        <v>110.6</v>
      </c>
      <c r="F131" s="5">
        <f>DataIn!F151</f>
        <v>0</v>
      </c>
      <c r="G131" s="5">
        <f>DataIn!G151</f>
        <v>82838.66</v>
      </c>
      <c r="H131" s="6" t="b">
        <f>SUMPRODUCT(--ISNUMBER(SEARCH(CategoriesConfig!B$3:B$12,$B131)))&gt;0</f>
        <v>0</v>
      </c>
      <c r="I131" s="6" t="b">
        <f>SUMPRODUCT(--ISNUMBER(SEARCH(CategoriesConfig!C$3:C$12,$B131)))&gt;0</f>
        <v>1</v>
      </c>
      <c r="J131" s="6" t="b">
        <f>SUMPRODUCT(--ISNUMBER(SEARCH(CategoriesConfig!D$3:D$12,$B131)))&gt;0</f>
        <v>0</v>
      </c>
      <c r="K131" s="6" t="b">
        <f>SUMPRODUCT(--ISNUMBER(SEARCH(CategoriesConfig!E$3:E$12,$B131)))&gt;0</f>
        <v>0</v>
      </c>
      <c r="L131" s="6" t="b">
        <f>SUMPRODUCT(--ISNUMBER(SEARCH(CategoriesConfig!F$3:F$12,$B131)))&gt;0</f>
        <v>0</v>
      </c>
      <c r="M131" s="6" t="b">
        <f>SUMPRODUCT(--ISNUMBER(SEARCH(CategoriesConfig!G$3:G$12,$B131)))&gt;0</f>
        <v>0</v>
      </c>
      <c r="N131" s="6" t="b">
        <f>SUMPRODUCT(--ISNUMBER(SEARCH(CategoriesConfig!H$3:H$12,$B131)))&gt;0</f>
        <v>0</v>
      </c>
      <c r="O131" s="6" t="b">
        <f>SUMPRODUCT(--ISNUMBER(SEARCH(CategoriesConfig!I$3:I$12,$B131)))&gt;0</f>
        <v>0</v>
      </c>
      <c r="P131" s="22" t="b">
        <f t="shared" si="6"/>
        <v>0</v>
      </c>
      <c r="Q131" s="22">
        <f t="shared" si="5"/>
        <v>6</v>
      </c>
      <c r="S131" s="6" t="str">
        <f t="shared" ref="S131:S194" si="7">IF(ISBLANK(R131),INDEX(H$2:P$917,1,SUMIF(H131:P131,"TRUE",H$1:P$1)),R131)</f>
        <v>U</v>
      </c>
    </row>
    <row r="132" spans="1:19" ht="13.5" thickBot="1" x14ac:dyDescent="0.25">
      <c r="A132" s="4">
        <f>DATEVALUE(DataIn!A152)</f>
        <v>42899</v>
      </c>
      <c r="B132" s="5" t="str">
        <f>DataIn!B152</f>
        <v>POS 512967XXXXXX4422 ZES*UBER INDIA S POS DEBIT</v>
      </c>
      <c r="C132" s="5" t="str">
        <f>DataIn!C152</f>
        <v>0000716460041688</v>
      </c>
      <c r="D132" s="5" t="str">
        <f>DataIn!D152</f>
        <v>13/06/17</v>
      </c>
      <c r="E132" s="5">
        <f>DataIn!E152</f>
        <v>182.35</v>
      </c>
      <c r="F132" s="5">
        <f>DataIn!F152</f>
        <v>0</v>
      </c>
      <c r="G132" s="5">
        <f>DataIn!G152</f>
        <v>82656.31</v>
      </c>
      <c r="H132" s="6" t="b">
        <f>SUMPRODUCT(--ISNUMBER(SEARCH(CategoriesConfig!B$3:B$12,$B132)))&gt;0</f>
        <v>0</v>
      </c>
      <c r="I132" s="6" t="b">
        <f>SUMPRODUCT(--ISNUMBER(SEARCH(CategoriesConfig!C$3:C$12,$B132)))&gt;0</f>
        <v>1</v>
      </c>
      <c r="J132" s="6" t="b">
        <f>SUMPRODUCT(--ISNUMBER(SEARCH(CategoriesConfig!D$3:D$12,$B132)))&gt;0</f>
        <v>0</v>
      </c>
      <c r="K132" s="6" t="b">
        <f>SUMPRODUCT(--ISNUMBER(SEARCH(CategoriesConfig!E$3:E$12,$B132)))&gt;0</f>
        <v>0</v>
      </c>
      <c r="L132" s="6" t="b">
        <f>SUMPRODUCT(--ISNUMBER(SEARCH(CategoriesConfig!F$3:F$12,$B132)))&gt;0</f>
        <v>0</v>
      </c>
      <c r="M132" s="6" t="b">
        <f>SUMPRODUCT(--ISNUMBER(SEARCH(CategoriesConfig!G$3:G$12,$B132)))&gt;0</f>
        <v>0</v>
      </c>
      <c r="N132" s="6" t="b">
        <f>SUMPRODUCT(--ISNUMBER(SEARCH(CategoriesConfig!H$3:H$12,$B132)))&gt;0</f>
        <v>0</v>
      </c>
      <c r="O132" s="6" t="b">
        <f>SUMPRODUCT(--ISNUMBER(SEARCH(CategoriesConfig!I$3:I$12,$B132)))&gt;0</f>
        <v>0</v>
      </c>
      <c r="P132" s="22" t="b">
        <f t="shared" si="6"/>
        <v>0</v>
      </c>
      <c r="Q132" s="22">
        <f t="shared" ref="Q132:Q195" si="8">MONTH(A132)</f>
        <v>6</v>
      </c>
      <c r="S132" s="6" t="str">
        <f t="shared" si="7"/>
        <v>U</v>
      </c>
    </row>
    <row r="133" spans="1:19" ht="13.5" thickBot="1" x14ac:dyDescent="0.25">
      <c r="A133" s="4">
        <f>DATEVALUE(DataIn!A153)</f>
        <v>42899</v>
      </c>
      <c r="B133" s="5" t="str">
        <f>DataIn!B153</f>
        <v>POS 512967XXXXXX4422 CELEBRATIONS, POS DEBIT</v>
      </c>
      <c r="C133" s="5" t="str">
        <f>DataIn!C153</f>
        <v>0000000000013706</v>
      </c>
      <c r="D133" s="5" t="str">
        <f>DataIn!D153</f>
        <v>13/06/17</v>
      </c>
      <c r="E133" s="5">
        <f>DataIn!E153</f>
        <v>75</v>
      </c>
      <c r="F133" s="5">
        <f>DataIn!F153</f>
        <v>0</v>
      </c>
      <c r="G133" s="5">
        <f>DataIn!G153</f>
        <v>82581.31</v>
      </c>
      <c r="H133" s="6" t="b">
        <f>SUMPRODUCT(--ISNUMBER(SEARCH(CategoriesConfig!B$3:B$12,$B133)))&gt;0</f>
        <v>0</v>
      </c>
      <c r="I133" s="6" t="b">
        <f>SUMPRODUCT(--ISNUMBER(SEARCH(CategoriesConfig!C$3:C$12,$B133)))&gt;0</f>
        <v>0</v>
      </c>
      <c r="J133" s="6" t="b">
        <f>SUMPRODUCT(--ISNUMBER(SEARCH(CategoriesConfig!D$3:D$12,$B133)))&gt;0</f>
        <v>1</v>
      </c>
      <c r="K133" s="6" t="b">
        <f>SUMPRODUCT(--ISNUMBER(SEARCH(CategoriesConfig!E$3:E$12,$B133)))&gt;0</f>
        <v>0</v>
      </c>
      <c r="L133" s="6" t="b">
        <f>SUMPRODUCT(--ISNUMBER(SEARCH(CategoriesConfig!F$3:F$12,$B133)))&gt;0</f>
        <v>0</v>
      </c>
      <c r="M133" s="6" t="b">
        <f>SUMPRODUCT(--ISNUMBER(SEARCH(CategoriesConfig!G$3:G$12,$B133)))&gt;0</f>
        <v>0</v>
      </c>
      <c r="N133" s="6" t="b">
        <f>SUMPRODUCT(--ISNUMBER(SEARCH(CategoriesConfig!H$3:H$12,$B133)))&gt;0</f>
        <v>0</v>
      </c>
      <c r="O133" s="6" t="b">
        <f>SUMPRODUCT(--ISNUMBER(SEARCH(CategoriesConfig!I$3:I$12,$B133)))&gt;0</f>
        <v>0</v>
      </c>
      <c r="P133" s="22" t="b">
        <f t="shared" si="6"/>
        <v>0</v>
      </c>
      <c r="Q133" s="22">
        <f t="shared" si="8"/>
        <v>6</v>
      </c>
      <c r="S133" s="6" t="str">
        <f t="shared" si="7"/>
        <v>L</v>
      </c>
    </row>
    <row r="134" spans="1:19" ht="13.5" thickBot="1" x14ac:dyDescent="0.25">
      <c r="A134" s="4">
        <f>DATEVALUE(DataIn!A154)</f>
        <v>42900</v>
      </c>
      <c r="B134" s="5" t="str">
        <f>DataIn!B154</f>
        <v>POS 512967XXXXXX4422 ZES*UBER INDIA S POS DEBIT</v>
      </c>
      <c r="C134" s="5" t="str">
        <f>DataIn!C154</f>
        <v>0000716540034505</v>
      </c>
      <c r="D134" s="5" t="str">
        <f>DataIn!D154</f>
        <v>14/06/17</v>
      </c>
      <c r="E134" s="5">
        <f>DataIn!E154</f>
        <v>170.46</v>
      </c>
      <c r="F134" s="5">
        <f>DataIn!F154</f>
        <v>0</v>
      </c>
      <c r="G134" s="5">
        <f>DataIn!G154</f>
        <v>82410.850000000006</v>
      </c>
      <c r="H134" s="6" t="b">
        <f>SUMPRODUCT(--ISNUMBER(SEARCH(CategoriesConfig!B$3:B$12,$B134)))&gt;0</f>
        <v>0</v>
      </c>
      <c r="I134" s="6" t="b">
        <f>SUMPRODUCT(--ISNUMBER(SEARCH(CategoriesConfig!C$3:C$12,$B134)))&gt;0</f>
        <v>1</v>
      </c>
      <c r="J134" s="6" t="b">
        <f>SUMPRODUCT(--ISNUMBER(SEARCH(CategoriesConfig!D$3:D$12,$B134)))&gt;0</f>
        <v>0</v>
      </c>
      <c r="K134" s="6" t="b">
        <f>SUMPRODUCT(--ISNUMBER(SEARCH(CategoriesConfig!E$3:E$12,$B134)))&gt;0</f>
        <v>0</v>
      </c>
      <c r="L134" s="6" t="b">
        <f>SUMPRODUCT(--ISNUMBER(SEARCH(CategoriesConfig!F$3:F$12,$B134)))&gt;0</f>
        <v>0</v>
      </c>
      <c r="M134" s="6" t="b">
        <f>SUMPRODUCT(--ISNUMBER(SEARCH(CategoriesConfig!G$3:G$12,$B134)))&gt;0</f>
        <v>0</v>
      </c>
      <c r="N134" s="6" t="b">
        <f>SUMPRODUCT(--ISNUMBER(SEARCH(CategoriesConfig!H$3:H$12,$B134)))&gt;0</f>
        <v>0</v>
      </c>
      <c r="O134" s="6" t="b">
        <f>SUMPRODUCT(--ISNUMBER(SEARCH(CategoriesConfig!I$3:I$12,$B134)))&gt;0</f>
        <v>0</v>
      </c>
      <c r="P134" s="22" t="b">
        <f t="shared" si="6"/>
        <v>0</v>
      </c>
      <c r="Q134" s="22">
        <f t="shared" si="8"/>
        <v>6</v>
      </c>
      <c r="S134" s="6" t="str">
        <f t="shared" si="7"/>
        <v>U</v>
      </c>
    </row>
    <row r="135" spans="1:19" ht="13.5" thickBot="1" x14ac:dyDescent="0.25">
      <c r="A135" s="4">
        <f>DATEVALUE(DataIn!A155)</f>
        <v>42900</v>
      </c>
      <c r="B135" s="5" t="str">
        <f>DataIn!B155</f>
        <v>POS 512967XXXXXX4422 CELEBRATIONS, POS DEBIT</v>
      </c>
      <c r="C135" s="5" t="str">
        <f>DataIn!C155</f>
        <v>0000000000014017</v>
      </c>
      <c r="D135" s="5" t="str">
        <f>DataIn!D155</f>
        <v>14/06/17</v>
      </c>
      <c r="E135" s="5">
        <f>DataIn!E155</f>
        <v>75</v>
      </c>
      <c r="F135" s="5">
        <f>DataIn!F155</f>
        <v>0</v>
      </c>
      <c r="G135" s="5">
        <f>DataIn!G155</f>
        <v>82335.850000000006</v>
      </c>
      <c r="H135" s="6" t="b">
        <f>SUMPRODUCT(--ISNUMBER(SEARCH(CategoriesConfig!B$3:B$12,$B135)))&gt;0</f>
        <v>0</v>
      </c>
      <c r="I135" s="6" t="b">
        <f>SUMPRODUCT(--ISNUMBER(SEARCH(CategoriesConfig!C$3:C$12,$B135)))&gt;0</f>
        <v>0</v>
      </c>
      <c r="J135" s="6" t="b">
        <f>SUMPRODUCT(--ISNUMBER(SEARCH(CategoriesConfig!D$3:D$12,$B135)))&gt;0</f>
        <v>1</v>
      </c>
      <c r="K135" s="6" t="b">
        <f>SUMPRODUCT(--ISNUMBER(SEARCH(CategoriesConfig!E$3:E$12,$B135)))&gt;0</f>
        <v>0</v>
      </c>
      <c r="L135" s="6" t="b">
        <f>SUMPRODUCT(--ISNUMBER(SEARCH(CategoriesConfig!F$3:F$12,$B135)))&gt;0</f>
        <v>0</v>
      </c>
      <c r="M135" s="6" t="b">
        <f>SUMPRODUCT(--ISNUMBER(SEARCH(CategoriesConfig!G$3:G$12,$B135)))&gt;0</f>
        <v>0</v>
      </c>
      <c r="N135" s="6" t="b">
        <f>SUMPRODUCT(--ISNUMBER(SEARCH(CategoriesConfig!H$3:H$12,$B135)))&gt;0</f>
        <v>0</v>
      </c>
      <c r="O135" s="6" t="b">
        <f>SUMPRODUCT(--ISNUMBER(SEARCH(CategoriesConfig!I$3:I$12,$B135)))&gt;0</f>
        <v>0</v>
      </c>
      <c r="P135" s="22" t="b">
        <f t="shared" si="6"/>
        <v>0</v>
      </c>
      <c r="Q135" s="22">
        <f t="shared" si="8"/>
        <v>6</v>
      </c>
      <c r="S135" s="6" t="str">
        <f t="shared" si="7"/>
        <v>L</v>
      </c>
    </row>
    <row r="136" spans="1:19" ht="13.5" thickBot="1" x14ac:dyDescent="0.25">
      <c r="A136" s="4">
        <f>DATEVALUE(DataIn!A156)</f>
        <v>42901</v>
      </c>
      <c r="B136" s="5" t="str">
        <f>DataIn!B156</f>
        <v>POS 512967XXXXXX4422 ZES*UBER INDIA S POS DEBIT</v>
      </c>
      <c r="C136" s="5" t="str">
        <f>DataIn!C156</f>
        <v>0000716660044136</v>
      </c>
      <c r="D136" s="5" t="str">
        <f>DataIn!D156</f>
        <v>15/06/17</v>
      </c>
      <c r="E136" s="5">
        <f>DataIn!E156</f>
        <v>163.38999999999999</v>
      </c>
      <c r="F136" s="5">
        <f>DataIn!F156</f>
        <v>0</v>
      </c>
      <c r="G136" s="5">
        <f>DataIn!G156</f>
        <v>82172.460000000006</v>
      </c>
      <c r="H136" s="6" t="b">
        <f>SUMPRODUCT(--ISNUMBER(SEARCH(CategoriesConfig!B$3:B$12,$B136)))&gt;0</f>
        <v>0</v>
      </c>
      <c r="I136" s="6" t="b">
        <f>SUMPRODUCT(--ISNUMBER(SEARCH(CategoriesConfig!C$3:C$12,$B136)))&gt;0</f>
        <v>1</v>
      </c>
      <c r="J136" s="6" t="b">
        <f>SUMPRODUCT(--ISNUMBER(SEARCH(CategoriesConfig!D$3:D$12,$B136)))&gt;0</f>
        <v>0</v>
      </c>
      <c r="K136" s="6" t="b">
        <f>SUMPRODUCT(--ISNUMBER(SEARCH(CategoriesConfig!E$3:E$12,$B136)))&gt;0</f>
        <v>0</v>
      </c>
      <c r="L136" s="6" t="b">
        <f>SUMPRODUCT(--ISNUMBER(SEARCH(CategoriesConfig!F$3:F$12,$B136)))&gt;0</f>
        <v>0</v>
      </c>
      <c r="M136" s="6" t="b">
        <f>SUMPRODUCT(--ISNUMBER(SEARCH(CategoriesConfig!G$3:G$12,$B136)))&gt;0</f>
        <v>0</v>
      </c>
      <c r="N136" s="6" t="b">
        <f>SUMPRODUCT(--ISNUMBER(SEARCH(CategoriesConfig!H$3:H$12,$B136)))&gt;0</f>
        <v>0</v>
      </c>
      <c r="O136" s="6" t="b">
        <f>SUMPRODUCT(--ISNUMBER(SEARCH(CategoriesConfig!I$3:I$12,$B136)))&gt;0</f>
        <v>0</v>
      </c>
      <c r="P136" s="22" t="b">
        <f t="shared" si="6"/>
        <v>0</v>
      </c>
      <c r="Q136" s="22">
        <f t="shared" si="8"/>
        <v>6</v>
      </c>
      <c r="S136" s="6" t="str">
        <f t="shared" si="7"/>
        <v>U</v>
      </c>
    </row>
    <row r="137" spans="1:19" ht="13.5" thickBot="1" x14ac:dyDescent="0.25">
      <c r="A137" s="4">
        <f>DATEVALUE(DataIn!A157)</f>
        <v>42901</v>
      </c>
      <c r="B137" s="5" t="str">
        <f>DataIn!B157</f>
        <v>POS 512967XXXXXX4422 CELEBRATIONS, POS DEBIT</v>
      </c>
      <c r="C137" s="5" t="str">
        <f>DataIn!C157</f>
        <v>0000000000014351</v>
      </c>
      <c r="D137" s="5" t="str">
        <f>DataIn!D157</f>
        <v>15/06/17</v>
      </c>
      <c r="E137" s="5">
        <f>DataIn!E157</f>
        <v>75</v>
      </c>
      <c r="F137" s="5">
        <f>DataIn!F157</f>
        <v>0</v>
      </c>
      <c r="G137" s="5">
        <f>DataIn!G157</f>
        <v>82097.460000000006</v>
      </c>
      <c r="H137" s="6" t="b">
        <f>SUMPRODUCT(--ISNUMBER(SEARCH(CategoriesConfig!B$3:B$12,$B137)))&gt;0</f>
        <v>0</v>
      </c>
      <c r="I137" s="6" t="b">
        <f>SUMPRODUCT(--ISNUMBER(SEARCH(CategoriesConfig!C$3:C$12,$B137)))&gt;0</f>
        <v>0</v>
      </c>
      <c r="J137" s="6" t="b">
        <f>SUMPRODUCT(--ISNUMBER(SEARCH(CategoriesConfig!D$3:D$12,$B137)))&gt;0</f>
        <v>1</v>
      </c>
      <c r="K137" s="6" t="b">
        <f>SUMPRODUCT(--ISNUMBER(SEARCH(CategoriesConfig!E$3:E$12,$B137)))&gt;0</f>
        <v>0</v>
      </c>
      <c r="L137" s="6" t="b">
        <f>SUMPRODUCT(--ISNUMBER(SEARCH(CategoriesConfig!F$3:F$12,$B137)))&gt;0</f>
        <v>0</v>
      </c>
      <c r="M137" s="6" t="b">
        <f>SUMPRODUCT(--ISNUMBER(SEARCH(CategoriesConfig!G$3:G$12,$B137)))&gt;0</f>
        <v>0</v>
      </c>
      <c r="N137" s="6" t="b">
        <f>SUMPRODUCT(--ISNUMBER(SEARCH(CategoriesConfig!H$3:H$12,$B137)))&gt;0</f>
        <v>0</v>
      </c>
      <c r="O137" s="6" t="b">
        <f>SUMPRODUCT(--ISNUMBER(SEARCH(CategoriesConfig!I$3:I$12,$B137)))&gt;0</f>
        <v>0</v>
      </c>
      <c r="P137" s="22" t="b">
        <f t="shared" si="6"/>
        <v>0</v>
      </c>
      <c r="Q137" s="22">
        <f t="shared" si="8"/>
        <v>6</v>
      </c>
      <c r="S137" s="6" t="str">
        <f t="shared" si="7"/>
        <v>L</v>
      </c>
    </row>
    <row r="138" spans="1:19" ht="13.5" thickBot="1" x14ac:dyDescent="0.25">
      <c r="A138" s="4">
        <f>DATEVALUE(DataIn!A158)</f>
        <v>42901</v>
      </c>
      <c r="B138" s="5" t="str">
        <f>DataIn!B158</f>
        <v>ATW-512967XXXXXX4422-S1AWGN04-BANGALORE-URB</v>
      </c>
      <c r="C138" s="5" t="str">
        <f>DataIn!C158</f>
        <v>0000000000006956</v>
      </c>
      <c r="D138" s="5" t="str">
        <f>DataIn!D158</f>
        <v>15/06/17</v>
      </c>
      <c r="E138" s="5">
        <f>DataIn!E158</f>
        <v>2000</v>
      </c>
      <c r="F138" s="5">
        <f>DataIn!F158</f>
        <v>0</v>
      </c>
      <c r="G138" s="5">
        <f>DataIn!G158</f>
        <v>80097.460000000006</v>
      </c>
      <c r="H138" s="6" t="b">
        <f>SUMPRODUCT(--ISNUMBER(SEARCH(CategoriesConfig!B$3:B$12,$B138)))&gt;0</f>
        <v>0</v>
      </c>
      <c r="I138" s="6" t="b">
        <f>SUMPRODUCT(--ISNUMBER(SEARCH(CategoriesConfig!C$3:C$12,$B138)))&gt;0</f>
        <v>0</v>
      </c>
      <c r="J138" s="6" t="b">
        <f>SUMPRODUCT(--ISNUMBER(SEARCH(CategoriesConfig!D$3:D$12,$B138)))&gt;0</f>
        <v>0</v>
      </c>
      <c r="K138" s="6" t="b">
        <f>SUMPRODUCT(--ISNUMBER(SEARCH(CategoriesConfig!E$3:E$12,$B138)))&gt;0</f>
        <v>0</v>
      </c>
      <c r="L138" s="6" t="b">
        <f>SUMPRODUCT(--ISNUMBER(SEARCH(CategoriesConfig!F$3:F$12,$B138)))&gt;0</f>
        <v>0</v>
      </c>
      <c r="M138" s="6" t="b">
        <f>SUMPRODUCT(--ISNUMBER(SEARCH(CategoriesConfig!G$3:G$12,$B138)))&gt;0</f>
        <v>0</v>
      </c>
      <c r="N138" s="6" t="b">
        <f>SUMPRODUCT(--ISNUMBER(SEARCH(CategoriesConfig!H$3:H$12,$B138)))&gt;0</f>
        <v>1</v>
      </c>
      <c r="O138" s="6" t="b">
        <f>SUMPRODUCT(--ISNUMBER(SEARCH(CategoriesConfig!I$3:I$12,$B138)))&gt;0</f>
        <v>0</v>
      </c>
      <c r="P138" s="22" t="b">
        <f t="shared" si="6"/>
        <v>0</v>
      </c>
      <c r="Q138" s="22">
        <f t="shared" si="8"/>
        <v>6</v>
      </c>
      <c r="S138" s="6" t="str">
        <f t="shared" si="7"/>
        <v>C</v>
      </c>
    </row>
    <row r="139" spans="1:19" ht="13.5" thickBot="1" x14ac:dyDescent="0.25">
      <c r="A139" s="4">
        <f>DATEVALUE(DataIn!A159)</f>
        <v>42901</v>
      </c>
      <c r="B139" s="5" t="str">
        <f>DataIn!B159</f>
        <v>NWD-512967XXXXXX4422-ABL9010-BANGALORE</v>
      </c>
      <c r="C139" s="5" t="str">
        <f>DataIn!C159</f>
        <v>0000716614298831</v>
      </c>
      <c r="D139" s="5" t="str">
        <f>DataIn!D159</f>
        <v>15/06/17</v>
      </c>
      <c r="E139" s="5">
        <f>DataIn!E159</f>
        <v>8000</v>
      </c>
      <c r="F139" s="5">
        <f>DataIn!F159</f>
        <v>0</v>
      </c>
      <c r="G139" s="5">
        <f>DataIn!G159</f>
        <v>72097.460000000006</v>
      </c>
      <c r="H139" s="6" t="b">
        <f>SUMPRODUCT(--ISNUMBER(SEARCH(CategoriesConfig!B$3:B$12,$B139)))&gt;0</f>
        <v>0</v>
      </c>
      <c r="I139" s="6" t="b">
        <f>SUMPRODUCT(--ISNUMBER(SEARCH(CategoriesConfig!C$3:C$12,$B139)))&gt;0</f>
        <v>0</v>
      </c>
      <c r="J139" s="6" t="b">
        <f>SUMPRODUCT(--ISNUMBER(SEARCH(CategoriesConfig!D$3:D$12,$B139)))&gt;0</f>
        <v>0</v>
      </c>
      <c r="K139" s="6" t="b">
        <f>SUMPRODUCT(--ISNUMBER(SEARCH(CategoriesConfig!E$3:E$12,$B139)))&gt;0</f>
        <v>0</v>
      </c>
      <c r="L139" s="6" t="b">
        <f>SUMPRODUCT(--ISNUMBER(SEARCH(CategoriesConfig!F$3:F$12,$B139)))&gt;0</f>
        <v>0</v>
      </c>
      <c r="M139" s="6" t="b">
        <f>SUMPRODUCT(--ISNUMBER(SEARCH(CategoriesConfig!G$3:G$12,$B139)))&gt;0</f>
        <v>0</v>
      </c>
      <c r="N139" s="6" t="b">
        <f>SUMPRODUCT(--ISNUMBER(SEARCH(CategoriesConfig!H$3:H$12,$B139)))&gt;0</f>
        <v>1</v>
      </c>
      <c r="O139" s="6" t="b">
        <f>SUMPRODUCT(--ISNUMBER(SEARCH(CategoriesConfig!I$3:I$12,$B139)))&gt;0</f>
        <v>0</v>
      </c>
      <c r="P139" s="22" t="b">
        <f t="shared" si="6"/>
        <v>0</v>
      </c>
      <c r="Q139" s="22">
        <f t="shared" si="8"/>
        <v>6</v>
      </c>
      <c r="S139" s="6" t="str">
        <f t="shared" si="7"/>
        <v>C</v>
      </c>
    </row>
    <row r="140" spans="1:19" ht="13.5" thickBot="1" x14ac:dyDescent="0.25">
      <c r="A140" s="4">
        <f>DATEVALUE(DataIn!A160)</f>
        <v>42901</v>
      </c>
      <c r="B140" s="5" t="str">
        <f>DataIn!B160</f>
        <v>NEFT CR-HSBC0400002-SALARY AND BULK PAYMENTS-LAWRENCE JAMES ROBSON COX-HSBCN17166773663</v>
      </c>
      <c r="C140" s="5" t="str">
        <f>DataIn!C160</f>
        <v>HSBCN17166773663</v>
      </c>
      <c r="D140" s="5" t="str">
        <f>DataIn!D160</f>
        <v>15/06/17</v>
      </c>
      <c r="E140" s="5">
        <f>DataIn!E160</f>
        <v>0</v>
      </c>
      <c r="F140" s="5">
        <f>DataIn!F160</f>
        <v>111298</v>
      </c>
      <c r="G140" s="5">
        <f>DataIn!G160</f>
        <v>183395.46</v>
      </c>
      <c r="H140" s="6" t="b">
        <f>SUMPRODUCT(--ISNUMBER(SEARCH(CategoriesConfig!B$3:B$12,$B140)))&gt;0</f>
        <v>1</v>
      </c>
      <c r="I140" s="6" t="b">
        <f>SUMPRODUCT(--ISNUMBER(SEARCH(CategoriesConfig!C$3:C$12,$B140)))&gt;0</f>
        <v>0</v>
      </c>
      <c r="J140" s="6" t="b">
        <f>SUMPRODUCT(--ISNUMBER(SEARCH(CategoriesConfig!D$3:D$12,$B140)))&gt;0</f>
        <v>0</v>
      </c>
      <c r="K140" s="6" t="b">
        <f>SUMPRODUCT(--ISNUMBER(SEARCH(CategoriesConfig!E$3:E$12,$B140)))&gt;0</f>
        <v>0</v>
      </c>
      <c r="L140" s="6" t="b">
        <f>SUMPRODUCT(--ISNUMBER(SEARCH(CategoriesConfig!F$3:F$12,$B140)))&gt;0</f>
        <v>0</v>
      </c>
      <c r="M140" s="6" t="b">
        <f>SUMPRODUCT(--ISNUMBER(SEARCH(CategoriesConfig!G$3:G$12,$B140)))&gt;0</f>
        <v>0</v>
      </c>
      <c r="N140" s="6" t="b">
        <f>SUMPRODUCT(--ISNUMBER(SEARCH(CategoriesConfig!H$3:H$12,$B140)))&gt;0</f>
        <v>0</v>
      </c>
      <c r="O140" s="6" t="b">
        <f>SUMPRODUCT(--ISNUMBER(SEARCH(CategoriesConfig!I$3:I$12,$B140)))&gt;0</f>
        <v>0</v>
      </c>
      <c r="P140" s="22" t="b">
        <f t="shared" si="6"/>
        <v>0</v>
      </c>
      <c r="Q140" s="22">
        <f t="shared" si="8"/>
        <v>6</v>
      </c>
      <c r="S140" s="6" t="str">
        <f t="shared" si="7"/>
        <v>I</v>
      </c>
    </row>
    <row r="141" spans="1:19" ht="13.5" thickBot="1" x14ac:dyDescent="0.25">
      <c r="A141" s="4">
        <f>DATEVALUE(DataIn!A161)</f>
        <v>42901</v>
      </c>
      <c r="B141" s="5" t="str">
        <f>DataIn!B161</f>
        <v>POS 512967XXXXXX4422 ZES*UBER INDIA S POS DEBIT</v>
      </c>
      <c r="C141" s="5" t="str">
        <f>DataIn!C161</f>
        <v>0000716660234036</v>
      </c>
      <c r="D141" s="5" t="str">
        <f>DataIn!D161</f>
        <v>15/06/17</v>
      </c>
      <c r="E141" s="5">
        <f>DataIn!E161</f>
        <v>91.14</v>
      </c>
      <c r="F141" s="5">
        <f>DataIn!F161</f>
        <v>0</v>
      </c>
      <c r="G141" s="5">
        <f>DataIn!G161</f>
        <v>183304.32000000001</v>
      </c>
      <c r="H141" s="6" t="b">
        <f>SUMPRODUCT(--ISNUMBER(SEARCH(CategoriesConfig!B$3:B$12,$B141)))&gt;0</f>
        <v>0</v>
      </c>
      <c r="I141" s="6" t="b">
        <f>SUMPRODUCT(--ISNUMBER(SEARCH(CategoriesConfig!C$3:C$12,$B141)))&gt;0</f>
        <v>1</v>
      </c>
      <c r="J141" s="6" t="b">
        <f>SUMPRODUCT(--ISNUMBER(SEARCH(CategoriesConfig!D$3:D$12,$B141)))&gt;0</f>
        <v>0</v>
      </c>
      <c r="K141" s="6" t="b">
        <f>SUMPRODUCT(--ISNUMBER(SEARCH(CategoriesConfig!E$3:E$12,$B141)))&gt;0</f>
        <v>0</v>
      </c>
      <c r="L141" s="6" t="b">
        <f>SUMPRODUCT(--ISNUMBER(SEARCH(CategoriesConfig!F$3:F$12,$B141)))&gt;0</f>
        <v>0</v>
      </c>
      <c r="M141" s="6" t="b">
        <f>SUMPRODUCT(--ISNUMBER(SEARCH(CategoriesConfig!G$3:G$12,$B141)))&gt;0</f>
        <v>0</v>
      </c>
      <c r="N141" s="6" t="b">
        <f>SUMPRODUCT(--ISNUMBER(SEARCH(CategoriesConfig!H$3:H$12,$B141)))&gt;0</f>
        <v>0</v>
      </c>
      <c r="O141" s="6" t="b">
        <f>SUMPRODUCT(--ISNUMBER(SEARCH(CategoriesConfig!I$3:I$12,$B141)))&gt;0</f>
        <v>0</v>
      </c>
      <c r="P141" s="22" t="b">
        <f t="shared" si="6"/>
        <v>0</v>
      </c>
      <c r="Q141" s="22">
        <f t="shared" si="8"/>
        <v>6</v>
      </c>
      <c r="S141" s="6" t="str">
        <f t="shared" si="7"/>
        <v>U</v>
      </c>
    </row>
    <row r="142" spans="1:19" ht="13.5" thickBot="1" x14ac:dyDescent="0.25">
      <c r="A142" s="4">
        <f>DATEVALUE(DataIn!A162)</f>
        <v>42902</v>
      </c>
      <c r="B142" s="5" t="str">
        <f>DataIn!B162</f>
        <v>POS 512967XXXXXX4422 ZES*UBER INDIA S POS DEBIT</v>
      </c>
      <c r="C142" s="5" t="str">
        <f>DataIn!C162</f>
        <v>0000716740073656</v>
      </c>
      <c r="D142" s="5" t="str">
        <f>DataIn!D162</f>
        <v>16/06/17</v>
      </c>
      <c r="E142" s="5">
        <f>DataIn!E162</f>
        <v>166.26</v>
      </c>
      <c r="F142" s="5">
        <f>DataIn!F162</f>
        <v>0</v>
      </c>
      <c r="G142" s="5">
        <f>DataIn!G162</f>
        <v>183138.06</v>
      </c>
      <c r="H142" s="6" t="b">
        <f>SUMPRODUCT(--ISNUMBER(SEARCH(CategoriesConfig!B$3:B$12,$B142)))&gt;0</f>
        <v>0</v>
      </c>
      <c r="I142" s="6" t="b">
        <f>SUMPRODUCT(--ISNUMBER(SEARCH(CategoriesConfig!C$3:C$12,$B142)))&gt;0</f>
        <v>1</v>
      </c>
      <c r="J142" s="6" t="b">
        <f>SUMPRODUCT(--ISNUMBER(SEARCH(CategoriesConfig!D$3:D$12,$B142)))&gt;0</f>
        <v>0</v>
      </c>
      <c r="K142" s="6" t="b">
        <f>SUMPRODUCT(--ISNUMBER(SEARCH(CategoriesConfig!E$3:E$12,$B142)))&gt;0</f>
        <v>0</v>
      </c>
      <c r="L142" s="6" t="b">
        <f>SUMPRODUCT(--ISNUMBER(SEARCH(CategoriesConfig!F$3:F$12,$B142)))&gt;0</f>
        <v>0</v>
      </c>
      <c r="M142" s="6" t="b">
        <f>SUMPRODUCT(--ISNUMBER(SEARCH(CategoriesConfig!G$3:G$12,$B142)))&gt;0</f>
        <v>0</v>
      </c>
      <c r="N142" s="6" t="b">
        <f>SUMPRODUCT(--ISNUMBER(SEARCH(CategoriesConfig!H$3:H$12,$B142)))&gt;0</f>
        <v>0</v>
      </c>
      <c r="O142" s="6" t="b">
        <f>SUMPRODUCT(--ISNUMBER(SEARCH(CategoriesConfig!I$3:I$12,$B142)))&gt;0</f>
        <v>0</v>
      </c>
      <c r="P142" s="22" t="b">
        <f t="shared" si="6"/>
        <v>0</v>
      </c>
      <c r="Q142" s="22">
        <f t="shared" si="8"/>
        <v>6</v>
      </c>
      <c r="S142" s="6" t="str">
        <f t="shared" si="7"/>
        <v>U</v>
      </c>
    </row>
    <row r="143" spans="1:19" ht="13.5" thickBot="1" x14ac:dyDescent="0.25">
      <c r="A143" s="4">
        <f>DATEVALUE(DataIn!A163)</f>
        <v>42902</v>
      </c>
      <c r="B143" s="5" t="str">
        <f>DataIn!B163</f>
        <v>POS 512967XXXXXX4422 CELEBRATIONS, POS DEBIT</v>
      </c>
      <c r="C143" s="5" t="str">
        <f>DataIn!C163</f>
        <v>0000000000014647</v>
      </c>
      <c r="D143" s="5" t="str">
        <f>DataIn!D163</f>
        <v>16/06/17</v>
      </c>
      <c r="E143" s="5">
        <f>DataIn!E163</f>
        <v>75</v>
      </c>
      <c r="F143" s="5">
        <f>DataIn!F163</f>
        <v>0</v>
      </c>
      <c r="G143" s="5">
        <f>DataIn!G163</f>
        <v>183063.06</v>
      </c>
      <c r="H143" s="6" t="b">
        <f>SUMPRODUCT(--ISNUMBER(SEARCH(CategoriesConfig!B$3:B$12,$B143)))&gt;0</f>
        <v>0</v>
      </c>
      <c r="I143" s="6" t="b">
        <f>SUMPRODUCT(--ISNUMBER(SEARCH(CategoriesConfig!C$3:C$12,$B143)))&gt;0</f>
        <v>0</v>
      </c>
      <c r="J143" s="6" t="b">
        <f>SUMPRODUCT(--ISNUMBER(SEARCH(CategoriesConfig!D$3:D$12,$B143)))&gt;0</f>
        <v>1</v>
      </c>
      <c r="K143" s="6" t="b">
        <f>SUMPRODUCT(--ISNUMBER(SEARCH(CategoriesConfig!E$3:E$12,$B143)))&gt;0</f>
        <v>0</v>
      </c>
      <c r="L143" s="6" t="b">
        <f>SUMPRODUCT(--ISNUMBER(SEARCH(CategoriesConfig!F$3:F$12,$B143)))&gt;0</f>
        <v>0</v>
      </c>
      <c r="M143" s="6" t="b">
        <f>SUMPRODUCT(--ISNUMBER(SEARCH(CategoriesConfig!G$3:G$12,$B143)))&gt;0</f>
        <v>0</v>
      </c>
      <c r="N143" s="6" t="b">
        <f>SUMPRODUCT(--ISNUMBER(SEARCH(CategoriesConfig!H$3:H$12,$B143)))&gt;0</f>
        <v>0</v>
      </c>
      <c r="O143" s="6" t="b">
        <f>SUMPRODUCT(--ISNUMBER(SEARCH(CategoriesConfig!I$3:I$12,$B143)))&gt;0</f>
        <v>0</v>
      </c>
      <c r="P143" s="22" t="b">
        <f t="shared" si="6"/>
        <v>0</v>
      </c>
      <c r="Q143" s="22">
        <f t="shared" si="8"/>
        <v>6</v>
      </c>
      <c r="S143" s="6" t="str">
        <f t="shared" si="7"/>
        <v>L</v>
      </c>
    </row>
    <row r="144" spans="1:19" ht="13.5" thickBot="1" x14ac:dyDescent="0.25">
      <c r="A144" s="4">
        <f>DATEVALUE(DataIn!A164)</f>
        <v>42902</v>
      </c>
      <c r="B144" s="5" t="str">
        <f>DataIn!B164</f>
        <v>POS 512967XXXXXX4422 ZES*UBER INDIA S POS DEBIT</v>
      </c>
      <c r="C144" s="5" t="str">
        <f>DataIn!C164</f>
        <v>0000716740216783</v>
      </c>
      <c r="D144" s="5" t="str">
        <f>DataIn!D164</f>
        <v>16/06/17</v>
      </c>
      <c r="E144" s="5">
        <f>DataIn!E164</f>
        <v>168.13</v>
      </c>
      <c r="F144" s="5">
        <f>DataIn!F164</f>
        <v>0</v>
      </c>
      <c r="G144" s="5">
        <f>DataIn!G164</f>
        <v>182894.93</v>
      </c>
      <c r="H144" s="6" t="b">
        <f>SUMPRODUCT(--ISNUMBER(SEARCH(CategoriesConfig!B$3:B$12,$B144)))&gt;0</f>
        <v>0</v>
      </c>
      <c r="I144" s="6" t="b">
        <f>SUMPRODUCT(--ISNUMBER(SEARCH(CategoriesConfig!C$3:C$12,$B144)))&gt;0</f>
        <v>1</v>
      </c>
      <c r="J144" s="6" t="b">
        <f>SUMPRODUCT(--ISNUMBER(SEARCH(CategoriesConfig!D$3:D$12,$B144)))&gt;0</f>
        <v>0</v>
      </c>
      <c r="K144" s="6" t="b">
        <f>SUMPRODUCT(--ISNUMBER(SEARCH(CategoriesConfig!E$3:E$12,$B144)))&gt;0</f>
        <v>0</v>
      </c>
      <c r="L144" s="6" t="b">
        <f>SUMPRODUCT(--ISNUMBER(SEARCH(CategoriesConfig!F$3:F$12,$B144)))&gt;0</f>
        <v>0</v>
      </c>
      <c r="M144" s="6" t="b">
        <f>SUMPRODUCT(--ISNUMBER(SEARCH(CategoriesConfig!G$3:G$12,$B144)))&gt;0</f>
        <v>0</v>
      </c>
      <c r="N144" s="6" t="b">
        <f>SUMPRODUCT(--ISNUMBER(SEARCH(CategoriesConfig!H$3:H$12,$B144)))&gt;0</f>
        <v>0</v>
      </c>
      <c r="O144" s="6" t="b">
        <f>SUMPRODUCT(--ISNUMBER(SEARCH(CategoriesConfig!I$3:I$12,$B144)))&gt;0</f>
        <v>0</v>
      </c>
      <c r="P144" s="22" t="b">
        <f t="shared" si="6"/>
        <v>0</v>
      </c>
      <c r="Q144" s="22">
        <f t="shared" si="8"/>
        <v>6</v>
      </c>
      <c r="S144" s="6" t="str">
        <f t="shared" si="7"/>
        <v>U</v>
      </c>
    </row>
    <row r="145" spans="1:19" ht="13.5" thickBot="1" x14ac:dyDescent="0.25">
      <c r="A145" s="4">
        <f>DATEVALUE(DataIn!A165)</f>
        <v>42902</v>
      </c>
      <c r="B145" s="5" t="str">
        <f>DataIn!B165</f>
        <v>POS 512967XXXXXX4422 GOTOGATE POS DEBIT</v>
      </c>
      <c r="C145" s="5" t="str">
        <f>DataIn!C165</f>
        <v>0000000000870632</v>
      </c>
      <c r="D145" s="5" t="str">
        <f>DataIn!D165</f>
        <v>16/06/17</v>
      </c>
      <c r="E145" s="5">
        <f>DataIn!E165</f>
        <v>50084.67</v>
      </c>
      <c r="F145" s="5">
        <f>DataIn!F165</f>
        <v>0</v>
      </c>
      <c r="G145" s="5">
        <f>DataIn!G165</f>
        <v>132810.26</v>
      </c>
      <c r="H145" s="6" t="b">
        <f>SUMPRODUCT(--ISNUMBER(SEARCH(CategoriesConfig!B$3:B$12,$B145)))&gt;0</f>
        <v>0</v>
      </c>
      <c r="I145" s="6" t="b">
        <f>SUMPRODUCT(--ISNUMBER(SEARCH(CategoriesConfig!C$3:C$12,$B145)))&gt;0</f>
        <v>0</v>
      </c>
      <c r="J145" s="6" t="b">
        <f>SUMPRODUCT(--ISNUMBER(SEARCH(CategoriesConfig!D$3:D$12,$B145)))&gt;0</f>
        <v>0</v>
      </c>
      <c r="K145" s="6" t="b">
        <f>SUMPRODUCT(--ISNUMBER(SEARCH(CategoriesConfig!E$3:E$12,$B145)))&gt;0</f>
        <v>1</v>
      </c>
      <c r="L145" s="6" t="b">
        <f>SUMPRODUCT(--ISNUMBER(SEARCH(CategoriesConfig!F$3:F$12,$B145)))&gt;0</f>
        <v>0</v>
      </c>
      <c r="M145" s="6" t="b">
        <f>SUMPRODUCT(--ISNUMBER(SEARCH(CategoriesConfig!G$3:G$12,$B145)))&gt;0</f>
        <v>0</v>
      </c>
      <c r="N145" s="6" t="b">
        <f>SUMPRODUCT(--ISNUMBER(SEARCH(CategoriesConfig!H$3:H$12,$B145)))&gt;0</f>
        <v>0</v>
      </c>
      <c r="O145" s="6" t="b">
        <f>SUMPRODUCT(--ISNUMBER(SEARCH(CategoriesConfig!I$3:I$12,$B145)))&gt;0</f>
        <v>0</v>
      </c>
      <c r="P145" s="22" t="b">
        <f t="shared" si="6"/>
        <v>0</v>
      </c>
      <c r="Q145" s="22">
        <f t="shared" si="8"/>
        <v>6</v>
      </c>
      <c r="S145" s="6" t="str">
        <f t="shared" si="7"/>
        <v>S</v>
      </c>
    </row>
    <row r="146" spans="1:19" ht="13.5" thickBot="1" x14ac:dyDescent="0.25">
      <c r="A146" s="4">
        <f>DATEVALUE(DataIn!A166)</f>
        <v>42902</v>
      </c>
      <c r="B146" s="5" t="str">
        <f>DataIn!B166</f>
        <v>POS 512967XXXXXX4422 MUNI WINES POS DEBIT</v>
      </c>
      <c r="C146" s="5" t="str">
        <f>DataIn!C166</f>
        <v>0000000000086794</v>
      </c>
      <c r="D146" s="5" t="str">
        <f>DataIn!D166</f>
        <v>16/06/17</v>
      </c>
      <c r="E146" s="5">
        <f>DataIn!E166</f>
        <v>1180</v>
      </c>
      <c r="F146" s="5">
        <f>DataIn!F166</f>
        <v>0</v>
      </c>
      <c r="G146" s="5">
        <f>DataIn!G166</f>
        <v>131630.26</v>
      </c>
      <c r="H146" s="6" t="b">
        <f>SUMPRODUCT(--ISNUMBER(SEARCH(CategoriesConfig!B$3:B$12,$B146)))&gt;0</f>
        <v>0</v>
      </c>
      <c r="I146" s="6" t="b">
        <f>SUMPRODUCT(--ISNUMBER(SEARCH(CategoriesConfig!C$3:C$12,$B146)))&gt;0</f>
        <v>0</v>
      </c>
      <c r="J146" s="6" t="b">
        <f>SUMPRODUCT(--ISNUMBER(SEARCH(CategoriesConfig!D$3:D$12,$B146)))&gt;0</f>
        <v>0</v>
      </c>
      <c r="K146" s="6" t="b">
        <f>SUMPRODUCT(--ISNUMBER(SEARCH(CategoriesConfig!E$3:E$12,$B146)))&gt;0</f>
        <v>0</v>
      </c>
      <c r="L146" s="6" t="b">
        <f>SUMPRODUCT(--ISNUMBER(SEARCH(CategoriesConfig!F$3:F$12,$B146)))&gt;0</f>
        <v>1</v>
      </c>
      <c r="M146" s="6" t="b">
        <f>SUMPRODUCT(--ISNUMBER(SEARCH(CategoriesConfig!G$3:G$12,$B146)))&gt;0</f>
        <v>0</v>
      </c>
      <c r="N146" s="6" t="b">
        <f>SUMPRODUCT(--ISNUMBER(SEARCH(CategoriesConfig!H$3:H$12,$B146)))&gt;0</f>
        <v>0</v>
      </c>
      <c r="O146" s="6" t="b">
        <f>SUMPRODUCT(--ISNUMBER(SEARCH(CategoriesConfig!I$3:I$12,$B146)))&gt;0</f>
        <v>0</v>
      </c>
      <c r="P146" s="22" t="b">
        <f t="shared" si="6"/>
        <v>0</v>
      </c>
      <c r="Q146" s="22">
        <f t="shared" si="8"/>
        <v>6</v>
      </c>
      <c r="S146" s="6" t="str">
        <f t="shared" si="7"/>
        <v>F</v>
      </c>
    </row>
    <row r="147" spans="1:19" ht="13.5" thickBot="1" x14ac:dyDescent="0.25">
      <c r="A147" s="4">
        <f>DATEVALUE(DataIn!A167)</f>
        <v>42903</v>
      </c>
      <c r="B147" s="5" t="str">
        <f>DataIn!B167</f>
        <v>POS 512967XXXXXX4422 NATURES POS DEBIT</v>
      </c>
      <c r="C147" s="5" t="str">
        <f>DataIn!C167</f>
        <v>0000000000005417</v>
      </c>
      <c r="D147" s="5" t="str">
        <f>DataIn!D167</f>
        <v>17/06/17</v>
      </c>
      <c r="E147" s="5">
        <f>DataIn!E167</f>
        <v>280</v>
      </c>
      <c r="F147" s="5">
        <f>DataIn!F167</f>
        <v>0</v>
      </c>
      <c r="G147" s="5">
        <f>DataIn!G167</f>
        <v>131350.26</v>
      </c>
      <c r="H147" s="6" t="b">
        <f>SUMPRODUCT(--ISNUMBER(SEARCH(CategoriesConfig!B$3:B$12,$B147)))&gt;0</f>
        <v>0</v>
      </c>
      <c r="I147" s="6" t="b">
        <f>SUMPRODUCT(--ISNUMBER(SEARCH(CategoriesConfig!C$3:C$12,$B147)))&gt;0</f>
        <v>0</v>
      </c>
      <c r="J147" s="6" t="b">
        <f>SUMPRODUCT(--ISNUMBER(SEARCH(CategoriesConfig!D$3:D$12,$B147)))&gt;0</f>
        <v>0</v>
      </c>
      <c r="K147" s="6" t="b">
        <f>SUMPRODUCT(--ISNUMBER(SEARCH(CategoriesConfig!E$3:E$12,$B147)))&gt;0</f>
        <v>0</v>
      </c>
      <c r="L147" s="6" t="b">
        <f>SUMPRODUCT(--ISNUMBER(SEARCH(CategoriesConfig!F$3:F$12,$B147)))&gt;0</f>
        <v>0</v>
      </c>
      <c r="M147" s="6" t="b">
        <f>SUMPRODUCT(--ISNUMBER(SEARCH(CategoriesConfig!G$3:G$12,$B147)))&gt;0</f>
        <v>1</v>
      </c>
      <c r="N147" s="6" t="b">
        <f>SUMPRODUCT(--ISNUMBER(SEARCH(CategoriesConfig!H$3:H$12,$B147)))&gt;0</f>
        <v>0</v>
      </c>
      <c r="O147" s="6" t="b">
        <f>SUMPRODUCT(--ISNUMBER(SEARCH(CategoriesConfig!I$3:I$12,$B147)))&gt;0</f>
        <v>0</v>
      </c>
      <c r="P147" s="22" t="b">
        <f t="shared" si="6"/>
        <v>0</v>
      </c>
      <c r="Q147" s="22">
        <f t="shared" si="8"/>
        <v>6</v>
      </c>
      <c r="S147" s="6" t="str">
        <f t="shared" si="7"/>
        <v>M</v>
      </c>
    </row>
    <row r="148" spans="1:19" ht="13.5" thickBot="1" x14ac:dyDescent="0.25">
      <c r="A148" s="4">
        <f>DATEVALUE(DataIn!A168)</f>
        <v>42903</v>
      </c>
      <c r="B148" s="5" t="str">
        <f>DataIn!B168</f>
        <v>POS 512967XXXXXX4422 ROYAL MART-RICHM POS DEBIT</v>
      </c>
      <c r="C148" s="5" t="str">
        <f>DataIn!C168</f>
        <v>0000000000232401</v>
      </c>
      <c r="D148" s="5" t="str">
        <f>DataIn!D168</f>
        <v>17/06/17</v>
      </c>
      <c r="E148" s="5">
        <f>DataIn!E168</f>
        <v>258</v>
      </c>
      <c r="F148" s="5">
        <f>DataIn!F168</f>
        <v>0</v>
      </c>
      <c r="G148" s="5">
        <f>DataIn!G168</f>
        <v>131092.26</v>
      </c>
      <c r="H148" s="6" t="b">
        <f>SUMPRODUCT(--ISNUMBER(SEARCH(CategoriesConfig!B$3:B$12,$B148)))&gt;0</f>
        <v>0</v>
      </c>
      <c r="I148" s="6" t="b">
        <f>SUMPRODUCT(--ISNUMBER(SEARCH(CategoriesConfig!C$3:C$12,$B148)))&gt;0</f>
        <v>0</v>
      </c>
      <c r="J148" s="6" t="b">
        <f>SUMPRODUCT(--ISNUMBER(SEARCH(CategoriesConfig!D$3:D$12,$B148)))&gt;0</f>
        <v>0</v>
      </c>
      <c r="K148" s="6" t="b">
        <f>SUMPRODUCT(--ISNUMBER(SEARCH(CategoriesConfig!E$3:E$12,$B148)))&gt;0</f>
        <v>0</v>
      </c>
      <c r="L148" s="6" t="b">
        <f>SUMPRODUCT(--ISNUMBER(SEARCH(CategoriesConfig!F$3:F$12,$B148)))&gt;0</f>
        <v>0</v>
      </c>
      <c r="M148" s="6" t="b">
        <f>SUMPRODUCT(--ISNUMBER(SEARCH(CategoriesConfig!G$3:G$12,$B148)))&gt;0</f>
        <v>1</v>
      </c>
      <c r="N148" s="6" t="b">
        <f>SUMPRODUCT(--ISNUMBER(SEARCH(CategoriesConfig!H$3:H$12,$B148)))&gt;0</f>
        <v>0</v>
      </c>
      <c r="O148" s="6" t="b">
        <f>SUMPRODUCT(--ISNUMBER(SEARCH(CategoriesConfig!I$3:I$12,$B148)))&gt;0</f>
        <v>0</v>
      </c>
      <c r="P148" s="22" t="b">
        <f t="shared" si="6"/>
        <v>0</v>
      </c>
      <c r="Q148" s="22">
        <f t="shared" si="8"/>
        <v>6</v>
      </c>
      <c r="S148" s="6" t="str">
        <f t="shared" si="7"/>
        <v>M</v>
      </c>
    </row>
    <row r="149" spans="1:19" ht="13.5" thickBot="1" x14ac:dyDescent="0.25">
      <c r="A149" s="4">
        <f>DATEVALUE(DataIn!A169)</f>
        <v>42903</v>
      </c>
      <c r="B149" s="5" t="str">
        <f>DataIn!B169</f>
        <v>POS 512967XXXXXX4422 CAFE COFFEE DAY POS DEBIT</v>
      </c>
      <c r="C149" s="5" t="str">
        <f>DataIn!C169</f>
        <v>0000000000171625</v>
      </c>
      <c r="D149" s="5" t="str">
        <f>DataIn!D169</f>
        <v>17/06/17</v>
      </c>
      <c r="E149" s="5">
        <f>DataIn!E169</f>
        <v>133</v>
      </c>
      <c r="F149" s="5">
        <f>DataIn!F169</f>
        <v>0</v>
      </c>
      <c r="G149" s="5">
        <f>DataIn!G169</f>
        <v>130959.26</v>
      </c>
      <c r="H149" s="6" t="b">
        <f>SUMPRODUCT(--ISNUMBER(SEARCH(CategoriesConfig!B$3:B$12,$B149)))&gt;0</f>
        <v>0</v>
      </c>
      <c r="I149" s="6" t="b">
        <f>SUMPRODUCT(--ISNUMBER(SEARCH(CategoriesConfig!C$3:C$12,$B149)))&gt;0</f>
        <v>0</v>
      </c>
      <c r="J149" s="6" t="b">
        <f>SUMPRODUCT(--ISNUMBER(SEARCH(CategoriesConfig!D$3:D$12,$B149)))&gt;0</f>
        <v>0</v>
      </c>
      <c r="K149" s="6" t="b">
        <f>SUMPRODUCT(--ISNUMBER(SEARCH(CategoriesConfig!E$3:E$12,$B149)))&gt;0</f>
        <v>0</v>
      </c>
      <c r="L149" s="6" t="b">
        <f>SUMPRODUCT(--ISNUMBER(SEARCH(CategoriesConfig!F$3:F$12,$B149)))&gt;0</f>
        <v>1</v>
      </c>
      <c r="M149" s="6" t="b">
        <f>SUMPRODUCT(--ISNUMBER(SEARCH(CategoriesConfig!G$3:G$12,$B149)))&gt;0</f>
        <v>0</v>
      </c>
      <c r="N149" s="6" t="b">
        <f>SUMPRODUCT(--ISNUMBER(SEARCH(CategoriesConfig!H$3:H$12,$B149)))&gt;0</f>
        <v>0</v>
      </c>
      <c r="O149" s="6" t="b">
        <f>SUMPRODUCT(--ISNUMBER(SEARCH(CategoriesConfig!I$3:I$12,$B149)))&gt;0</f>
        <v>0</v>
      </c>
      <c r="P149" s="22" t="b">
        <f t="shared" si="6"/>
        <v>0</v>
      </c>
      <c r="Q149" s="22">
        <f t="shared" si="8"/>
        <v>6</v>
      </c>
      <c r="S149" s="6" t="str">
        <f t="shared" si="7"/>
        <v>F</v>
      </c>
    </row>
    <row r="150" spans="1:19" ht="13.5" thickBot="1" x14ac:dyDescent="0.25">
      <c r="A150" s="4">
        <f>DATEVALUE(DataIn!A170)</f>
        <v>42903</v>
      </c>
      <c r="B150" s="5" t="str">
        <f>DataIn!B170</f>
        <v>NWD-512967XXXXXX4422-40021001-BANGALORE</v>
      </c>
      <c r="C150" s="5" t="str">
        <f>DataIn!C170</f>
        <v>0000716816016422</v>
      </c>
      <c r="D150" s="5" t="str">
        <f>DataIn!D170</f>
        <v>17/06/17</v>
      </c>
      <c r="E150" s="5">
        <f>DataIn!E170</f>
        <v>10000</v>
      </c>
      <c r="F150" s="5">
        <f>DataIn!F170</f>
        <v>0</v>
      </c>
      <c r="G150" s="5">
        <f>DataIn!G170</f>
        <v>120959.26</v>
      </c>
      <c r="H150" s="6" t="b">
        <f>SUMPRODUCT(--ISNUMBER(SEARCH(CategoriesConfig!B$3:B$12,$B150)))&gt;0</f>
        <v>0</v>
      </c>
      <c r="I150" s="6" t="b">
        <f>SUMPRODUCT(--ISNUMBER(SEARCH(CategoriesConfig!C$3:C$12,$B150)))&gt;0</f>
        <v>0</v>
      </c>
      <c r="J150" s="6" t="b">
        <f>SUMPRODUCT(--ISNUMBER(SEARCH(CategoriesConfig!D$3:D$12,$B150)))&gt;0</f>
        <v>0</v>
      </c>
      <c r="K150" s="6" t="b">
        <f>SUMPRODUCT(--ISNUMBER(SEARCH(CategoriesConfig!E$3:E$12,$B150)))&gt;0</f>
        <v>0</v>
      </c>
      <c r="L150" s="6" t="b">
        <f>SUMPRODUCT(--ISNUMBER(SEARCH(CategoriesConfig!F$3:F$12,$B150)))&gt;0</f>
        <v>0</v>
      </c>
      <c r="M150" s="6" t="b">
        <f>SUMPRODUCT(--ISNUMBER(SEARCH(CategoriesConfig!G$3:G$12,$B150)))&gt;0</f>
        <v>0</v>
      </c>
      <c r="N150" s="6" t="b">
        <f>SUMPRODUCT(--ISNUMBER(SEARCH(CategoriesConfig!H$3:H$12,$B150)))&gt;0</f>
        <v>1</v>
      </c>
      <c r="O150" s="6" t="b">
        <f>SUMPRODUCT(--ISNUMBER(SEARCH(CategoriesConfig!I$3:I$12,$B150)))&gt;0</f>
        <v>0</v>
      </c>
      <c r="P150" s="22" t="b">
        <f t="shared" si="6"/>
        <v>0</v>
      </c>
      <c r="Q150" s="22">
        <f t="shared" si="8"/>
        <v>6</v>
      </c>
      <c r="S150" s="6" t="str">
        <f t="shared" si="7"/>
        <v>C</v>
      </c>
    </row>
    <row r="151" spans="1:19" ht="13.5" thickBot="1" x14ac:dyDescent="0.25">
      <c r="A151" s="4">
        <f>DATEVALUE(DataIn!A171)</f>
        <v>42903</v>
      </c>
      <c r="B151" s="5" t="str">
        <f>DataIn!B171</f>
        <v>POS 512967XXXXXX4422 BOMBAY BRASSERIE POS DEBIT</v>
      </c>
      <c r="C151" s="5" t="str">
        <f>DataIn!C171</f>
        <v>0000000000004115</v>
      </c>
      <c r="D151" s="5" t="str">
        <f>DataIn!D171</f>
        <v>17/06/17</v>
      </c>
      <c r="E151" s="5">
        <f>DataIn!E171</f>
        <v>1300</v>
      </c>
      <c r="F151" s="5">
        <f>DataIn!F171</f>
        <v>0</v>
      </c>
      <c r="G151" s="5">
        <f>DataIn!G171</f>
        <v>119659.26</v>
      </c>
      <c r="H151" s="6" t="b">
        <f>SUMPRODUCT(--ISNUMBER(SEARCH(CategoriesConfig!B$3:B$12,$B151)))&gt;0</f>
        <v>0</v>
      </c>
      <c r="I151" s="6" t="b">
        <f>SUMPRODUCT(--ISNUMBER(SEARCH(CategoriesConfig!C$3:C$12,$B151)))&gt;0</f>
        <v>0</v>
      </c>
      <c r="J151" s="6" t="b">
        <f>SUMPRODUCT(--ISNUMBER(SEARCH(CategoriesConfig!D$3:D$12,$B151)))&gt;0</f>
        <v>0</v>
      </c>
      <c r="K151" s="6" t="b">
        <f>SUMPRODUCT(--ISNUMBER(SEARCH(CategoriesConfig!E$3:E$12,$B151)))&gt;0</f>
        <v>0</v>
      </c>
      <c r="L151" s="6" t="b">
        <f>SUMPRODUCT(--ISNUMBER(SEARCH(CategoriesConfig!F$3:F$12,$B151)))&gt;0</f>
        <v>0</v>
      </c>
      <c r="M151" s="6" t="b">
        <f>SUMPRODUCT(--ISNUMBER(SEARCH(CategoriesConfig!G$3:G$12,$B151)))&gt;0</f>
        <v>0</v>
      </c>
      <c r="N151" s="6" t="b">
        <f>SUMPRODUCT(--ISNUMBER(SEARCH(CategoriesConfig!H$3:H$12,$B151)))&gt;0</f>
        <v>0</v>
      </c>
      <c r="O151" s="6" t="b">
        <f>SUMPRODUCT(--ISNUMBER(SEARCH(CategoriesConfig!I$3:I$12,$B151)))&gt;0</f>
        <v>0</v>
      </c>
      <c r="P151" s="22" t="b">
        <f t="shared" si="6"/>
        <v>1</v>
      </c>
      <c r="Q151" s="22">
        <f t="shared" si="8"/>
        <v>6</v>
      </c>
      <c r="R151" s="2" t="s">
        <v>221</v>
      </c>
      <c r="S151" s="6" t="str">
        <f t="shared" si="7"/>
        <v>F</v>
      </c>
    </row>
    <row r="152" spans="1:19" ht="13.5" thickBot="1" x14ac:dyDescent="0.25">
      <c r="A152" s="4">
        <f>DATEVALUE(DataIn!A172)</f>
        <v>42904</v>
      </c>
      <c r="B152" s="5" t="str">
        <f>DataIn!B172</f>
        <v>POS 512967XXXXXX4422 ZES*UBER INDIA S POS DEBIT</v>
      </c>
      <c r="C152" s="5" t="str">
        <f>DataIn!C172</f>
        <v>0000716960045491</v>
      </c>
      <c r="D152" s="5" t="str">
        <f>DataIn!D172</f>
        <v>18/06/17</v>
      </c>
      <c r="E152" s="5">
        <f>DataIn!E172</f>
        <v>130.4</v>
      </c>
      <c r="F152" s="5">
        <f>DataIn!F172</f>
        <v>0</v>
      </c>
      <c r="G152" s="5">
        <f>DataIn!G172</f>
        <v>119528.86</v>
      </c>
      <c r="H152" s="6" t="b">
        <f>SUMPRODUCT(--ISNUMBER(SEARCH(CategoriesConfig!B$3:B$12,$B152)))&gt;0</f>
        <v>0</v>
      </c>
      <c r="I152" s="6" t="b">
        <f>SUMPRODUCT(--ISNUMBER(SEARCH(CategoriesConfig!C$3:C$12,$B152)))&gt;0</f>
        <v>1</v>
      </c>
      <c r="J152" s="6" t="b">
        <f>SUMPRODUCT(--ISNUMBER(SEARCH(CategoriesConfig!D$3:D$12,$B152)))&gt;0</f>
        <v>0</v>
      </c>
      <c r="K152" s="6" t="b">
        <f>SUMPRODUCT(--ISNUMBER(SEARCH(CategoriesConfig!E$3:E$12,$B152)))&gt;0</f>
        <v>0</v>
      </c>
      <c r="L152" s="6" t="b">
        <f>SUMPRODUCT(--ISNUMBER(SEARCH(CategoriesConfig!F$3:F$12,$B152)))&gt;0</f>
        <v>0</v>
      </c>
      <c r="M152" s="6" t="b">
        <f>SUMPRODUCT(--ISNUMBER(SEARCH(CategoriesConfig!G$3:G$12,$B152)))&gt;0</f>
        <v>0</v>
      </c>
      <c r="N152" s="6" t="b">
        <f>SUMPRODUCT(--ISNUMBER(SEARCH(CategoriesConfig!H$3:H$12,$B152)))&gt;0</f>
        <v>0</v>
      </c>
      <c r="O152" s="6" t="b">
        <f>SUMPRODUCT(--ISNUMBER(SEARCH(CategoriesConfig!I$3:I$12,$B152)))&gt;0</f>
        <v>0</v>
      </c>
      <c r="P152" s="22" t="b">
        <f t="shared" si="6"/>
        <v>0</v>
      </c>
      <c r="Q152" s="22">
        <f t="shared" si="8"/>
        <v>6</v>
      </c>
      <c r="S152" s="6" t="str">
        <f t="shared" si="7"/>
        <v>U</v>
      </c>
    </row>
    <row r="153" spans="1:19" ht="13.5" thickBot="1" x14ac:dyDescent="0.25">
      <c r="A153" s="4">
        <f>DATEVALUE(DataIn!A173)</f>
        <v>42904</v>
      </c>
      <c r="B153" s="5" t="str">
        <f>DataIn!B173</f>
        <v>POS 512967XXXXXX4422 CAFE COFFEE DAY POS DEBIT</v>
      </c>
      <c r="C153" s="5" t="str">
        <f>DataIn!C173</f>
        <v>0000000000531533</v>
      </c>
      <c r="D153" s="5" t="str">
        <f>DataIn!D173</f>
        <v>18/06/17</v>
      </c>
      <c r="E153" s="5">
        <f>DataIn!E173</f>
        <v>140</v>
      </c>
      <c r="F153" s="5">
        <f>DataIn!F173</f>
        <v>0</v>
      </c>
      <c r="G153" s="5">
        <f>DataIn!G173</f>
        <v>119388.86</v>
      </c>
      <c r="H153" s="6" t="b">
        <f>SUMPRODUCT(--ISNUMBER(SEARCH(CategoriesConfig!B$3:B$12,$B153)))&gt;0</f>
        <v>0</v>
      </c>
      <c r="I153" s="6" t="b">
        <f>SUMPRODUCT(--ISNUMBER(SEARCH(CategoriesConfig!C$3:C$12,$B153)))&gt;0</f>
        <v>0</v>
      </c>
      <c r="J153" s="6" t="b">
        <f>SUMPRODUCT(--ISNUMBER(SEARCH(CategoriesConfig!D$3:D$12,$B153)))&gt;0</f>
        <v>0</v>
      </c>
      <c r="K153" s="6" t="b">
        <f>SUMPRODUCT(--ISNUMBER(SEARCH(CategoriesConfig!E$3:E$12,$B153)))&gt;0</f>
        <v>0</v>
      </c>
      <c r="L153" s="6" t="b">
        <f>SUMPRODUCT(--ISNUMBER(SEARCH(CategoriesConfig!F$3:F$12,$B153)))&gt;0</f>
        <v>1</v>
      </c>
      <c r="M153" s="6" t="b">
        <f>SUMPRODUCT(--ISNUMBER(SEARCH(CategoriesConfig!G$3:G$12,$B153)))&gt;0</f>
        <v>0</v>
      </c>
      <c r="N153" s="6" t="b">
        <f>SUMPRODUCT(--ISNUMBER(SEARCH(CategoriesConfig!H$3:H$12,$B153)))&gt;0</f>
        <v>0</v>
      </c>
      <c r="O153" s="6" t="b">
        <f>SUMPRODUCT(--ISNUMBER(SEARCH(CategoriesConfig!I$3:I$12,$B153)))&gt;0</f>
        <v>0</v>
      </c>
      <c r="P153" s="22" t="b">
        <f t="shared" si="6"/>
        <v>0</v>
      </c>
      <c r="Q153" s="22">
        <f t="shared" si="8"/>
        <v>6</v>
      </c>
      <c r="S153" s="6" t="str">
        <f t="shared" si="7"/>
        <v>F</v>
      </c>
    </row>
    <row r="154" spans="1:19" ht="13.5" thickBot="1" x14ac:dyDescent="0.25">
      <c r="A154" s="4">
        <f>DATEVALUE(DataIn!A174)</f>
        <v>42904</v>
      </c>
      <c r="B154" s="5" t="str">
        <f>DataIn!B174</f>
        <v>POS 512967XXXXXX4422 RELIANCE VISION POS DEBIT</v>
      </c>
      <c r="C154" s="5" t="str">
        <f>DataIn!C174</f>
        <v>0000000000002924</v>
      </c>
      <c r="D154" s="5" t="str">
        <f>DataIn!D174</f>
        <v>18/06/17</v>
      </c>
      <c r="E154" s="5">
        <f>DataIn!E174</f>
        <v>7600</v>
      </c>
      <c r="F154" s="5">
        <f>DataIn!F174</f>
        <v>0</v>
      </c>
      <c r="G154" s="5">
        <f>DataIn!G174</f>
        <v>111788.86</v>
      </c>
      <c r="H154" s="6" t="b">
        <f>SUMPRODUCT(--ISNUMBER(SEARCH(CategoriesConfig!B$3:B$12,$B154)))&gt;0</f>
        <v>0</v>
      </c>
      <c r="I154" s="6" t="b">
        <f>SUMPRODUCT(--ISNUMBER(SEARCH(CategoriesConfig!C$3:C$12,$B154)))&gt;0</f>
        <v>0</v>
      </c>
      <c r="J154" s="6" t="b">
        <f>SUMPRODUCT(--ISNUMBER(SEARCH(CategoriesConfig!D$3:D$12,$B154)))&gt;0</f>
        <v>0</v>
      </c>
      <c r="K154" s="6" t="b">
        <f>SUMPRODUCT(--ISNUMBER(SEARCH(CategoriesConfig!E$3:E$12,$B154)))&gt;0</f>
        <v>1</v>
      </c>
      <c r="L154" s="6" t="b">
        <f>SUMPRODUCT(--ISNUMBER(SEARCH(CategoriesConfig!F$3:F$12,$B154)))&gt;0</f>
        <v>0</v>
      </c>
      <c r="M154" s="6" t="b">
        <f>SUMPRODUCT(--ISNUMBER(SEARCH(CategoriesConfig!G$3:G$12,$B154)))&gt;0</f>
        <v>0</v>
      </c>
      <c r="N154" s="6" t="b">
        <f>SUMPRODUCT(--ISNUMBER(SEARCH(CategoriesConfig!H$3:H$12,$B154)))&gt;0</f>
        <v>0</v>
      </c>
      <c r="O154" s="6" t="b">
        <f>SUMPRODUCT(--ISNUMBER(SEARCH(CategoriesConfig!I$3:I$12,$B154)))&gt;0</f>
        <v>0</v>
      </c>
      <c r="P154" s="22" t="b">
        <f t="shared" si="6"/>
        <v>0</v>
      </c>
      <c r="Q154" s="22">
        <f t="shared" si="8"/>
        <v>6</v>
      </c>
      <c r="S154" s="6" t="str">
        <f t="shared" si="7"/>
        <v>S</v>
      </c>
    </row>
    <row r="155" spans="1:19" ht="13.5" thickBot="1" x14ac:dyDescent="0.25">
      <c r="A155" s="4">
        <f>DATEVALUE(DataIn!A175)</f>
        <v>42904</v>
      </c>
      <c r="B155" s="5" t="str">
        <f>DataIn!B175</f>
        <v>POS 512967XXXXXX4422 MC DONALDS. POS DEBIT</v>
      </c>
      <c r="C155" s="5" t="str">
        <f>DataIn!C175</f>
        <v>0000000000058095</v>
      </c>
      <c r="D155" s="5" t="str">
        <f>DataIn!D175</f>
        <v>18/06/17</v>
      </c>
      <c r="E155" s="5">
        <f>DataIn!E175</f>
        <v>380.15</v>
      </c>
      <c r="F155" s="5">
        <f>DataIn!F175</f>
        <v>0</v>
      </c>
      <c r="G155" s="5">
        <f>DataIn!G175</f>
        <v>111408.71</v>
      </c>
      <c r="H155" s="6" t="b">
        <f>SUMPRODUCT(--ISNUMBER(SEARCH(CategoriesConfig!B$3:B$12,$B155)))&gt;0</f>
        <v>0</v>
      </c>
      <c r="I155" s="6" t="b">
        <f>SUMPRODUCT(--ISNUMBER(SEARCH(CategoriesConfig!C$3:C$12,$B155)))&gt;0</f>
        <v>0</v>
      </c>
      <c r="J155" s="6" t="b">
        <f>SUMPRODUCT(--ISNUMBER(SEARCH(CategoriesConfig!D$3:D$12,$B155)))&gt;0</f>
        <v>0</v>
      </c>
      <c r="K155" s="6" t="b">
        <f>SUMPRODUCT(--ISNUMBER(SEARCH(CategoriesConfig!E$3:E$12,$B155)))&gt;0</f>
        <v>0</v>
      </c>
      <c r="L155" s="6" t="b">
        <f>SUMPRODUCT(--ISNUMBER(SEARCH(CategoriesConfig!F$3:F$12,$B155)))&gt;0</f>
        <v>1</v>
      </c>
      <c r="M155" s="6" t="b">
        <f>SUMPRODUCT(--ISNUMBER(SEARCH(CategoriesConfig!G$3:G$12,$B155)))&gt;0</f>
        <v>0</v>
      </c>
      <c r="N155" s="6" t="b">
        <f>SUMPRODUCT(--ISNUMBER(SEARCH(CategoriesConfig!H$3:H$12,$B155)))&gt;0</f>
        <v>0</v>
      </c>
      <c r="O155" s="6" t="b">
        <f>SUMPRODUCT(--ISNUMBER(SEARCH(CategoriesConfig!I$3:I$12,$B155)))&gt;0</f>
        <v>0</v>
      </c>
      <c r="P155" s="22" t="b">
        <f t="shared" si="6"/>
        <v>0</v>
      </c>
      <c r="Q155" s="22">
        <f t="shared" si="8"/>
        <v>6</v>
      </c>
      <c r="S155" s="6" t="str">
        <f t="shared" si="7"/>
        <v>F</v>
      </c>
    </row>
    <row r="156" spans="1:19" ht="13.5" thickBot="1" x14ac:dyDescent="0.25">
      <c r="A156" s="4">
        <f>DATEVALUE(DataIn!A176)</f>
        <v>42904</v>
      </c>
      <c r="B156" s="5" t="str">
        <f>DataIn!B176</f>
        <v>POS 512967XXXXXX4422 ZES*UBER INDIA S POS DEBIT</v>
      </c>
      <c r="C156" s="5" t="str">
        <f>DataIn!C176</f>
        <v>0000716940109716</v>
      </c>
      <c r="D156" s="5" t="str">
        <f>DataIn!D176</f>
        <v>18/06/17</v>
      </c>
      <c r="E156" s="5">
        <f>DataIn!E176</f>
        <v>175.88</v>
      </c>
      <c r="F156" s="5">
        <f>DataIn!F176</f>
        <v>0</v>
      </c>
      <c r="G156" s="5">
        <f>DataIn!G176</f>
        <v>111232.83</v>
      </c>
      <c r="H156" s="6" t="b">
        <f>SUMPRODUCT(--ISNUMBER(SEARCH(CategoriesConfig!B$3:B$12,$B156)))&gt;0</f>
        <v>0</v>
      </c>
      <c r="I156" s="6" t="b">
        <f>SUMPRODUCT(--ISNUMBER(SEARCH(CategoriesConfig!C$3:C$12,$B156)))&gt;0</f>
        <v>1</v>
      </c>
      <c r="J156" s="6" t="b">
        <f>SUMPRODUCT(--ISNUMBER(SEARCH(CategoriesConfig!D$3:D$12,$B156)))&gt;0</f>
        <v>0</v>
      </c>
      <c r="K156" s="6" t="b">
        <f>SUMPRODUCT(--ISNUMBER(SEARCH(CategoriesConfig!E$3:E$12,$B156)))&gt;0</f>
        <v>0</v>
      </c>
      <c r="L156" s="6" t="b">
        <f>SUMPRODUCT(--ISNUMBER(SEARCH(CategoriesConfig!F$3:F$12,$B156)))&gt;0</f>
        <v>0</v>
      </c>
      <c r="M156" s="6" t="b">
        <f>SUMPRODUCT(--ISNUMBER(SEARCH(CategoriesConfig!G$3:G$12,$B156)))&gt;0</f>
        <v>0</v>
      </c>
      <c r="N156" s="6" t="b">
        <f>SUMPRODUCT(--ISNUMBER(SEARCH(CategoriesConfig!H$3:H$12,$B156)))&gt;0</f>
        <v>0</v>
      </c>
      <c r="O156" s="6" t="b">
        <f>SUMPRODUCT(--ISNUMBER(SEARCH(CategoriesConfig!I$3:I$12,$B156)))&gt;0</f>
        <v>0</v>
      </c>
      <c r="P156" s="22" t="b">
        <f t="shared" si="6"/>
        <v>0</v>
      </c>
      <c r="Q156" s="22">
        <f t="shared" si="8"/>
        <v>6</v>
      </c>
      <c r="S156" s="6" t="str">
        <f t="shared" si="7"/>
        <v>U</v>
      </c>
    </row>
    <row r="157" spans="1:19" ht="13.5" thickBot="1" x14ac:dyDescent="0.25">
      <c r="A157" s="4">
        <f>DATEVALUE(DataIn!A177)</f>
        <v>42905</v>
      </c>
      <c r="B157" s="5" t="str">
        <f>DataIn!B177</f>
        <v>POS 512967XXXXXX4422 CELEBRATIONS, POS DEBIT</v>
      </c>
      <c r="C157" s="5" t="str">
        <f>DataIn!C177</f>
        <v>0000000000014917</v>
      </c>
      <c r="D157" s="5" t="str">
        <f>DataIn!D177</f>
        <v>19/06/17</v>
      </c>
      <c r="E157" s="5">
        <f>DataIn!E177</f>
        <v>75</v>
      </c>
      <c r="F157" s="5">
        <f>DataIn!F177</f>
        <v>0</v>
      </c>
      <c r="G157" s="5">
        <f>DataIn!G177</f>
        <v>111157.83</v>
      </c>
      <c r="H157" s="6" t="b">
        <f>SUMPRODUCT(--ISNUMBER(SEARCH(CategoriesConfig!B$3:B$12,$B157)))&gt;0</f>
        <v>0</v>
      </c>
      <c r="I157" s="6" t="b">
        <f>SUMPRODUCT(--ISNUMBER(SEARCH(CategoriesConfig!C$3:C$12,$B157)))&gt;0</f>
        <v>0</v>
      </c>
      <c r="J157" s="6" t="b">
        <f>SUMPRODUCT(--ISNUMBER(SEARCH(CategoriesConfig!D$3:D$12,$B157)))&gt;0</f>
        <v>1</v>
      </c>
      <c r="K157" s="6" t="b">
        <f>SUMPRODUCT(--ISNUMBER(SEARCH(CategoriesConfig!E$3:E$12,$B157)))&gt;0</f>
        <v>0</v>
      </c>
      <c r="L157" s="6" t="b">
        <f>SUMPRODUCT(--ISNUMBER(SEARCH(CategoriesConfig!F$3:F$12,$B157)))&gt;0</f>
        <v>0</v>
      </c>
      <c r="M157" s="6" t="b">
        <f>SUMPRODUCT(--ISNUMBER(SEARCH(CategoriesConfig!G$3:G$12,$B157)))&gt;0</f>
        <v>0</v>
      </c>
      <c r="N157" s="6" t="b">
        <f>SUMPRODUCT(--ISNUMBER(SEARCH(CategoriesConfig!H$3:H$12,$B157)))&gt;0</f>
        <v>0</v>
      </c>
      <c r="O157" s="6" t="b">
        <f>SUMPRODUCT(--ISNUMBER(SEARCH(CategoriesConfig!I$3:I$12,$B157)))&gt;0</f>
        <v>0</v>
      </c>
      <c r="P157" s="22" t="b">
        <f t="shared" si="6"/>
        <v>0</v>
      </c>
      <c r="Q157" s="22">
        <f t="shared" si="8"/>
        <v>6</v>
      </c>
      <c r="S157" s="6" t="str">
        <f t="shared" si="7"/>
        <v>L</v>
      </c>
    </row>
    <row r="158" spans="1:19" ht="13.5" thickBot="1" x14ac:dyDescent="0.25">
      <c r="A158" s="4">
        <f>DATEVALUE(DataIn!A178)</f>
        <v>42905</v>
      </c>
      <c r="B158" s="5" t="str">
        <f>DataIn!B178</f>
        <v>DEBIT CARD PUR ADJ DT 16/06/17</v>
      </c>
      <c r="C158" s="5" t="str">
        <f>DataIn!C178</f>
        <v>0000000000870632</v>
      </c>
      <c r="D158" s="5" t="str">
        <f>DataIn!D178</f>
        <v>19/06/17</v>
      </c>
      <c r="E158" s="5">
        <f>DataIn!E178</f>
        <v>209.14</v>
      </c>
      <c r="F158" s="5">
        <f>DataIn!F178</f>
        <v>0</v>
      </c>
      <c r="G158" s="5">
        <f>DataIn!G178</f>
        <v>110948.69</v>
      </c>
      <c r="H158" s="6" t="b">
        <f>SUMPRODUCT(--ISNUMBER(SEARCH(CategoriesConfig!B$3:B$12,$B158)))&gt;0</f>
        <v>0</v>
      </c>
      <c r="I158" s="6" t="b">
        <f>SUMPRODUCT(--ISNUMBER(SEARCH(CategoriesConfig!C$3:C$12,$B158)))&gt;0</f>
        <v>0</v>
      </c>
      <c r="J158" s="6" t="b">
        <f>SUMPRODUCT(--ISNUMBER(SEARCH(CategoriesConfig!D$3:D$12,$B158)))&gt;0</f>
        <v>0</v>
      </c>
      <c r="K158" s="6" t="b">
        <f>SUMPRODUCT(--ISNUMBER(SEARCH(CategoriesConfig!E$3:E$12,$B158)))&gt;0</f>
        <v>0</v>
      </c>
      <c r="L158" s="6" t="b">
        <f>SUMPRODUCT(--ISNUMBER(SEARCH(CategoriesConfig!F$3:F$12,$B158)))&gt;0</f>
        <v>0</v>
      </c>
      <c r="M158" s="6" t="b">
        <f>SUMPRODUCT(--ISNUMBER(SEARCH(CategoriesConfig!G$3:G$12,$B158)))&gt;0</f>
        <v>0</v>
      </c>
      <c r="N158" s="6" t="b">
        <f>SUMPRODUCT(--ISNUMBER(SEARCH(CategoriesConfig!H$3:H$12,$B158)))&gt;0</f>
        <v>0</v>
      </c>
      <c r="O158" s="6" t="b">
        <f>SUMPRODUCT(--ISNUMBER(SEARCH(CategoriesConfig!I$3:I$12,$B158)))&gt;0</f>
        <v>0</v>
      </c>
      <c r="P158" s="22" t="b">
        <f t="shared" si="6"/>
        <v>1</v>
      </c>
      <c r="Q158" s="22">
        <f t="shared" si="8"/>
        <v>6</v>
      </c>
      <c r="R158" s="2" t="s">
        <v>223</v>
      </c>
      <c r="S158" s="6" t="str">
        <f t="shared" si="7"/>
        <v>M</v>
      </c>
    </row>
    <row r="159" spans="1:19" ht="13.5" thickBot="1" x14ac:dyDescent="0.25">
      <c r="A159" s="4">
        <f>DATEVALUE(DataIn!A179)</f>
        <v>42905</v>
      </c>
      <c r="B159" s="5" t="str">
        <f>DataIn!B179</f>
        <v>POS 512967XXXXXX4422 ZES*UBER INDIA S POS DEBIT</v>
      </c>
      <c r="C159" s="5" t="str">
        <f>DataIn!C179</f>
        <v>0000717060210072</v>
      </c>
      <c r="D159" s="5" t="str">
        <f>DataIn!D179</f>
        <v>19/06/17</v>
      </c>
      <c r="E159" s="5">
        <f>DataIn!E179</f>
        <v>198.6</v>
      </c>
      <c r="F159" s="5">
        <f>DataIn!F179</f>
        <v>0</v>
      </c>
      <c r="G159" s="5">
        <f>DataIn!G179</f>
        <v>110750.09</v>
      </c>
      <c r="H159" s="6" t="b">
        <f>SUMPRODUCT(--ISNUMBER(SEARCH(CategoriesConfig!B$3:B$12,$B159)))&gt;0</f>
        <v>0</v>
      </c>
      <c r="I159" s="6" t="b">
        <f>SUMPRODUCT(--ISNUMBER(SEARCH(CategoriesConfig!C$3:C$12,$B159)))&gt;0</f>
        <v>1</v>
      </c>
      <c r="J159" s="6" t="b">
        <f>SUMPRODUCT(--ISNUMBER(SEARCH(CategoriesConfig!D$3:D$12,$B159)))&gt;0</f>
        <v>0</v>
      </c>
      <c r="K159" s="6" t="b">
        <f>SUMPRODUCT(--ISNUMBER(SEARCH(CategoriesConfig!E$3:E$12,$B159)))&gt;0</f>
        <v>0</v>
      </c>
      <c r="L159" s="6" t="b">
        <f>SUMPRODUCT(--ISNUMBER(SEARCH(CategoriesConfig!F$3:F$12,$B159)))&gt;0</f>
        <v>0</v>
      </c>
      <c r="M159" s="6" t="b">
        <f>SUMPRODUCT(--ISNUMBER(SEARCH(CategoriesConfig!G$3:G$12,$B159)))&gt;0</f>
        <v>0</v>
      </c>
      <c r="N159" s="6" t="b">
        <f>SUMPRODUCT(--ISNUMBER(SEARCH(CategoriesConfig!H$3:H$12,$B159)))&gt;0</f>
        <v>0</v>
      </c>
      <c r="O159" s="6" t="b">
        <f>SUMPRODUCT(--ISNUMBER(SEARCH(CategoriesConfig!I$3:I$12,$B159)))&gt;0</f>
        <v>0</v>
      </c>
      <c r="P159" s="22" t="b">
        <f t="shared" si="6"/>
        <v>0</v>
      </c>
      <c r="Q159" s="22">
        <f t="shared" si="8"/>
        <v>6</v>
      </c>
      <c r="S159" s="6" t="str">
        <f t="shared" si="7"/>
        <v>U</v>
      </c>
    </row>
    <row r="160" spans="1:19" ht="13.5" thickBot="1" x14ac:dyDescent="0.25">
      <c r="A160" s="4">
        <f>DATEVALUE(DataIn!A180)</f>
        <v>42906</v>
      </c>
      <c r="B160" s="5" t="str">
        <f>DataIn!B180</f>
        <v>POS 512967XXXXXX4422 ZES*UBER INDIA S POS DEBIT</v>
      </c>
      <c r="C160" s="5" t="str">
        <f>DataIn!C180</f>
        <v>0000717100026775</v>
      </c>
      <c r="D160" s="5" t="str">
        <f>DataIn!D180</f>
        <v>20/06/17</v>
      </c>
      <c r="E160" s="5">
        <f>DataIn!E180</f>
        <v>169.51</v>
      </c>
      <c r="F160" s="5">
        <f>DataIn!F180</f>
        <v>0</v>
      </c>
      <c r="G160" s="5">
        <f>DataIn!G180</f>
        <v>110580.58</v>
      </c>
      <c r="H160" s="6" t="b">
        <f>SUMPRODUCT(--ISNUMBER(SEARCH(CategoriesConfig!B$3:B$12,$B160)))&gt;0</f>
        <v>0</v>
      </c>
      <c r="I160" s="6" t="b">
        <f>SUMPRODUCT(--ISNUMBER(SEARCH(CategoriesConfig!C$3:C$12,$B160)))&gt;0</f>
        <v>1</v>
      </c>
      <c r="J160" s="6" t="b">
        <f>SUMPRODUCT(--ISNUMBER(SEARCH(CategoriesConfig!D$3:D$12,$B160)))&gt;0</f>
        <v>0</v>
      </c>
      <c r="K160" s="6" t="b">
        <f>SUMPRODUCT(--ISNUMBER(SEARCH(CategoriesConfig!E$3:E$12,$B160)))&gt;0</f>
        <v>0</v>
      </c>
      <c r="L160" s="6" t="b">
        <f>SUMPRODUCT(--ISNUMBER(SEARCH(CategoriesConfig!F$3:F$12,$B160)))&gt;0</f>
        <v>0</v>
      </c>
      <c r="M160" s="6" t="b">
        <f>SUMPRODUCT(--ISNUMBER(SEARCH(CategoriesConfig!G$3:G$12,$B160)))&gt;0</f>
        <v>0</v>
      </c>
      <c r="N160" s="6" t="b">
        <f>SUMPRODUCT(--ISNUMBER(SEARCH(CategoriesConfig!H$3:H$12,$B160)))&gt;0</f>
        <v>0</v>
      </c>
      <c r="O160" s="6" t="b">
        <f>SUMPRODUCT(--ISNUMBER(SEARCH(CategoriesConfig!I$3:I$12,$B160)))&gt;0</f>
        <v>0</v>
      </c>
      <c r="P160" s="22" t="b">
        <f t="shared" si="6"/>
        <v>0</v>
      </c>
      <c r="Q160" s="22">
        <f t="shared" si="8"/>
        <v>6</v>
      </c>
      <c r="S160" s="6" t="str">
        <f t="shared" si="7"/>
        <v>U</v>
      </c>
    </row>
    <row r="161" spans="1:19" ht="13.5" thickBot="1" x14ac:dyDescent="0.25">
      <c r="A161" s="4">
        <f>DATEVALUE(DataIn!A181)</f>
        <v>42906</v>
      </c>
      <c r="B161" s="5" t="str">
        <f>DataIn!B181</f>
        <v>POS 512967XXXXXX4422 CELEBRATIONS, POS DEBIT</v>
      </c>
      <c r="C161" s="5" t="str">
        <f>DataIn!C181</f>
        <v>0000000000002571</v>
      </c>
      <c r="D161" s="5" t="str">
        <f>DataIn!D181</f>
        <v>20/06/17</v>
      </c>
      <c r="E161" s="5">
        <f>DataIn!E181</f>
        <v>75</v>
      </c>
      <c r="F161" s="5">
        <f>DataIn!F181</f>
        <v>0</v>
      </c>
      <c r="G161" s="5">
        <f>DataIn!G181</f>
        <v>110505.58</v>
      </c>
      <c r="H161" s="6" t="b">
        <f>SUMPRODUCT(--ISNUMBER(SEARCH(CategoriesConfig!B$3:B$12,$B161)))&gt;0</f>
        <v>0</v>
      </c>
      <c r="I161" s="6" t="b">
        <f>SUMPRODUCT(--ISNUMBER(SEARCH(CategoriesConfig!C$3:C$12,$B161)))&gt;0</f>
        <v>0</v>
      </c>
      <c r="J161" s="6" t="b">
        <f>SUMPRODUCT(--ISNUMBER(SEARCH(CategoriesConfig!D$3:D$12,$B161)))&gt;0</f>
        <v>1</v>
      </c>
      <c r="K161" s="6" t="b">
        <f>SUMPRODUCT(--ISNUMBER(SEARCH(CategoriesConfig!E$3:E$12,$B161)))&gt;0</f>
        <v>0</v>
      </c>
      <c r="L161" s="6" t="b">
        <f>SUMPRODUCT(--ISNUMBER(SEARCH(CategoriesConfig!F$3:F$12,$B161)))&gt;0</f>
        <v>0</v>
      </c>
      <c r="M161" s="6" t="b">
        <f>SUMPRODUCT(--ISNUMBER(SEARCH(CategoriesConfig!G$3:G$12,$B161)))&gt;0</f>
        <v>0</v>
      </c>
      <c r="N161" s="6" t="b">
        <f>SUMPRODUCT(--ISNUMBER(SEARCH(CategoriesConfig!H$3:H$12,$B161)))&gt;0</f>
        <v>0</v>
      </c>
      <c r="O161" s="6" t="b">
        <f>SUMPRODUCT(--ISNUMBER(SEARCH(CategoriesConfig!I$3:I$12,$B161)))&gt;0</f>
        <v>0</v>
      </c>
      <c r="P161" s="22" t="b">
        <f t="shared" si="6"/>
        <v>0</v>
      </c>
      <c r="Q161" s="22">
        <f t="shared" si="8"/>
        <v>6</v>
      </c>
      <c r="S161" s="6" t="str">
        <f t="shared" si="7"/>
        <v>L</v>
      </c>
    </row>
    <row r="162" spans="1:19" ht="13.5" thickBot="1" x14ac:dyDescent="0.25">
      <c r="A162" s="4">
        <f>DATEVALUE(DataIn!A182)</f>
        <v>42907</v>
      </c>
      <c r="B162" s="5" t="str">
        <f>DataIn!B182</f>
        <v>POS 512967XXXXXX4422 ZES*UBER INDIA S POS DEBIT</v>
      </c>
      <c r="C162" s="5" t="str">
        <f>DataIn!C182</f>
        <v>0000717260046137</v>
      </c>
      <c r="D162" s="5" t="str">
        <f>DataIn!D182</f>
        <v>21/06/17</v>
      </c>
      <c r="E162" s="5">
        <f>DataIn!E182</f>
        <v>88.09</v>
      </c>
      <c r="F162" s="5">
        <f>DataIn!F182</f>
        <v>0</v>
      </c>
      <c r="G162" s="5">
        <f>DataIn!G182</f>
        <v>110417.49</v>
      </c>
      <c r="H162" s="6" t="b">
        <f>SUMPRODUCT(--ISNUMBER(SEARCH(CategoriesConfig!B$3:B$12,$B162)))&gt;0</f>
        <v>0</v>
      </c>
      <c r="I162" s="6" t="b">
        <f>SUMPRODUCT(--ISNUMBER(SEARCH(CategoriesConfig!C$3:C$12,$B162)))&gt;0</f>
        <v>1</v>
      </c>
      <c r="J162" s="6" t="b">
        <f>SUMPRODUCT(--ISNUMBER(SEARCH(CategoriesConfig!D$3:D$12,$B162)))&gt;0</f>
        <v>0</v>
      </c>
      <c r="K162" s="6" t="b">
        <f>SUMPRODUCT(--ISNUMBER(SEARCH(CategoriesConfig!E$3:E$12,$B162)))&gt;0</f>
        <v>0</v>
      </c>
      <c r="L162" s="6" t="b">
        <f>SUMPRODUCT(--ISNUMBER(SEARCH(CategoriesConfig!F$3:F$12,$B162)))&gt;0</f>
        <v>0</v>
      </c>
      <c r="M162" s="6" t="b">
        <f>SUMPRODUCT(--ISNUMBER(SEARCH(CategoriesConfig!G$3:G$12,$B162)))&gt;0</f>
        <v>0</v>
      </c>
      <c r="N162" s="6" t="b">
        <f>SUMPRODUCT(--ISNUMBER(SEARCH(CategoriesConfig!H$3:H$12,$B162)))&gt;0</f>
        <v>0</v>
      </c>
      <c r="O162" s="6" t="b">
        <f>SUMPRODUCT(--ISNUMBER(SEARCH(CategoriesConfig!I$3:I$12,$B162)))&gt;0</f>
        <v>0</v>
      </c>
      <c r="P162" s="22" t="b">
        <f t="shared" si="6"/>
        <v>0</v>
      </c>
      <c r="Q162" s="22">
        <f t="shared" si="8"/>
        <v>6</v>
      </c>
      <c r="S162" s="6" t="str">
        <f t="shared" si="7"/>
        <v>U</v>
      </c>
    </row>
    <row r="163" spans="1:19" ht="13.5" thickBot="1" x14ac:dyDescent="0.25">
      <c r="A163" s="4">
        <f>DATEVALUE(DataIn!A183)</f>
        <v>42907</v>
      </c>
      <c r="B163" s="5" t="str">
        <f>DataIn!B183</f>
        <v>POS 512967XXXXXX4422 CELEBRATIONS, POS DEBIT</v>
      </c>
      <c r="C163" s="5" t="str">
        <f>DataIn!C183</f>
        <v>0000000000015563</v>
      </c>
      <c r="D163" s="5" t="str">
        <f>DataIn!D183</f>
        <v>21/06/17</v>
      </c>
      <c r="E163" s="5">
        <f>DataIn!E183</f>
        <v>75</v>
      </c>
      <c r="F163" s="5">
        <f>DataIn!F183</f>
        <v>0</v>
      </c>
      <c r="G163" s="5">
        <f>DataIn!G183</f>
        <v>110342.49</v>
      </c>
      <c r="H163" s="6" t="b">
        <f>SUMPRODUCT(--ISNUMBER(SEARCH(CategoriesConfig!B$3:B$12,$B163)))&gt;0</f>
        <v>0</v>
      </c>
      <c r="I163" s="6" t="b">
        <f>SUMPRODUCT(--ISNUMBER(SEARCH(CategoriesConfig!C$3:C$12,$B163)))&gt;0</f>
        <v>0</v>
      </c>
      <c r="J163" s="6" t="b">
        <f>SUMPRODUCT(--ISNUMBER(SEARCH(CategoriesConfig!D$3:D$12,$B163)))&gt;0</f>
        <v>1</v>
      </c>
      <c r="K163" s="6" t="b">
        <f>SUMPRODUCT(--ISNUMBER(SEARCH(CategoriesConfig!E$3:E$12,$B163)))&gt;0</f>
        <v>0</v>
      </c>
      <c r="L163" s="6" t="b">
        <f>SUMPRODUCT(--ISNUMBER(SEARCH(CategoriesConfig!F$3:F$12,$B163)))&gt;0</f>
        <v>0</v>
      </c>
      <c r="M163" s="6" t="b">
        <f>SUMPRODUCT(--ISNUMBER(SEARCH(CategoriesConfig!G$3:G$12,$B163)))&gt;0</f>
        <v>0</v>
      </c>
      <c r="N163" s="6" t="b">
        <f>SUMPRODUCT(--ISNUMBER(SEARCH(CategoriesConfig!H$3:H$12,$B163)))&gt;0</f>
        <v>0</v>
      </c>
      <c r="O163" s="6" t="b">
        <f>SUMPRODUCT(--ISNUMBER(SEARCH(CategoriesConfig!I$3:I$12,$B163)))&gt;0</f>
        <v>0</v>
      </c>
      <c r="P163" s="22" t="b">
        <f t="shared" si="6"/>
        <v>0</v>
      </c>
      <c r="Q163" s="22">
        <f t="shared" si="8"/>
        <v>6</v>
      </c>
      <c r="S163" s="6" t="str">
        <f t="shared" si="7"/>
        <v>L</v>
      </c>
    </row>
    <row r="164" spans="1:19" ht="13.5" thickBot="1" x14ac:dyDescent="0.25">
      <c r="A164" s="4">
        <f>DATEVALUE(DataIn!A184)</f>
        <v>42907</v>
      </c>
      <c r="B164" s="5" t="str">
        <f>DataIn!B184</f>
        <v>POS 512967XXXXXX4422 ZES*UBER INDIA S POS DEBIT</v>
      </c>
      <c r="C164" s="5" t="str">
        <f>DataIn!C184</f>
        <v>0000717260260033</v>
      </c>
      <c r="D164" s="5" t="str">
        <f>DataIn!D184</f>
        <v>21/06/17</v>
      </c>
      <c r="E164" s="5">
        <f>DataIn!E184</f>
        <v>166.3</v>
      </c>
      <c r="F164" s="5">
        <f>DataIn!F184</f>
        <v>0</v>
      </c>
      <c r="G164" s="5">
        <f>DataIn!G184</f>
        <v>110176.19</v>
      </c>
      <c r="H164" s="6" t="b">
        <f>SUMPRODUCT(--ISNUMBER(SEARCH(CategoriesConfig!B$3:B$12,$B164)))&gt;0</f>
        <v>0</v>
      </c>
      <c r="I164" s="6" t="b">
        <f>SUMPRODUCT(--ISNUMBER(SEARCH(CategoriesConfig!C$3:C$12,$B164)))&gt;0</f>
        <v>1</v>
      </c>
      <c r="J164" s="6" t="b">
        <f>SUMPRODUCT(--ISNUMBER(SEARCH(CategoriesConfig!D$3:D$12,$B164)))&gt;0</f>
        <v>0</v>
      </c>
      <c r="K164" s="6" t="b">
        <f>SUMPRODUCT(--ISNUMBER(SEARCH(CategoriesConfig!E$3:E$12,$B164)))&gt;0</f>
        <v>0</v>
      </c>
      <c r="L164" s="6" t="b">
        <f>SUMPRODUCT(--ISNUMBER(SEARCH(CategoriesConfig!F$3:F$12,$B164)))&gt;0</f>
        <v>0</v>
      </c>
      <c r="M164" s="6" t="b">
        <f>SUMPRODUCT(--ISNUMBER(SEARCH(CategoriesConfig!G$3:G$12,$B164)))&gt;0</f>
        <v>0</v>
      </c>
      <c r="N164" s="6" t="b">
        <f>SUMPRODUCT(--ISNUMBER(SEARCH(CategoriesConfig!H$3:H$12,$B164)))&gt;0</f>
        <v>0</v>
      </c>
      <c r="O164" s="6" t="b">
        <f>SUMPRODUCT(--ISNUMBER(SEARCH(CategoriesConfig!I$3:I$12,$B164)))&gt;0</f>
        <v>0</v>
      </c>
      <c r="P164" s="22" t="b">
        <f t="shared" si="6"/>
        <v>0</v>
      </c>
      <c r="Q164" s="22">
        <f t="shared" si="8"/>
        <v>6</v>
      </c>
      <c r="S164" s="6" t="str">
        <f t="shared" si="7"/>
        <v>U</v>
      </c>
    </row>
    <row r="165" spans="1:19" ht="13.5" thickBot="1" x14ac:dyDescent="0.25">
      <c r="A165" s="4">
        <f>DATEVALUE(DataIn!A185)</f>
        <v>42907</v>
      </c>
      <c r="B165" s="5" t="str">
        <f>DataIn!B185</f>
        <v>POS 512967XXXXXX4422 ROYAL MART-RICHM POS DEBIT</v>
      </c>
      <c r="C165" s="5" t="str">
        <f>DataIn!C185</f>
        <v>0000000000171590</v>
      </c>
      <c r="D165" s="5" t="str">
        <f>DataIn!D185</f>
        <v>21/06/17</v>
      </c>
      <c r="E165" s="5">
        <f>DataIn!E185</f>
        <v>271</v>
      </c>
      <c r="F165" s="5">
        <f>DataIn!F185</f>
        <v>0</v>
      </c>
      <c r="G165" s="5">
        <f>DataIn!G185</f>
        <v>109905.19</v>
      </c>
      <c r="H165" s="6" t="b">
        <f>SUMPRODUCT(--ISNUMBER(SEARCH(CategoriesConfig!B$3:B$12,$B165)))&gt;0</f>
        <v>0</v>
      </c>
      <c r="I165" s="6" t="b">
        <f>SUMPRODUCT(--ISNUMBER(SEARCH(CategoriesConfig!C$3:C$12,$B165)))&gt;0</f>
        <v>0</v>
      </c>
      <c r="J165" s="6" t="b">
        <f>SUMPRODUCT(--ISNUMBER(SEARCH(CategoriesConfig!D$3:D$12,$B165)))&gt;0</f>
        <v>0</v>
      </c>
      <c r="K165" s="6" t="b">
        <f>SUMPRODUCT(--ISNUMBER(SEARCH(CategoriesConfig!E$3:E$12,$B165)))&gt;0</f>
        <v>0</v>
      </c>
      <c r="L165" s="6" t="b">
        <f>SUMPRODUCT(--ISNUMBER(SEARCH(CategoriesConfig!F$3:F$12,$B165)))&gt;0</f>
        <v>0</v>
      </c>
      <c r="M165" s="6" t="b">
        <f>SUMPRODUCT(--ISNUMBER(SEARCH(CategoriesConfig!G$3:G$12,$B165)))&gt;0</f>
        <v>1</v>
      </c>
      <c r="N165" s="6" t="b">
        <f>SUMPRODUCT(--ISNUMBER(SEARCH(CategoriesConfig!H$3:H$12,$B165)))&gt;0</f>
        <v>0</v>
      </c>
      <c r="O165" s="6" t="b">
        <f>SUMPRODUCT(--ISNUMBER(SEARCH(CategoriesConfig!I$3:I$12,$B165)))&gt;0</f>
        <v>0</v>
      </c>
      <c r="P165" s="22" t="b">
        <f t="shared" si="6"/>
        <v>0</v>
      </c>
      <c r="Q165" s="22">
        <f t="shared" si="8"/>
        <v>6</v>
      </c>
      <c r="S165" s="6" t="str">
        <f t="shared" si="7"/>
        <v>M</v>
      </c>
    </row>
    <row r="166" spans="1:19" ht="13.5" thickBot="1" x14ac:dyDescent="0.25">
      <c r="A166" s="4">
        <f>DATEVALUE(DataIn!A186)</f>
        <v>42908</v>
      </c>
      <c r="B166" s="5" t="str">
        <f>DataIn!B186</f>
        <v>POS 512967XXXXXX4422 ZES*UBER INDIA S POS DEBIT</v>
      </c>
      <c r="C166" s="5" t="str">
        <f>DataIn!C186</f>
        <v>0000717340066178</v>
      </c>
      <c r="D166" s="5" t="str">
        <f>DataIn!D186</f>
        <v>22/06/17</v>
      </c>
      <c r="E166" s="5">
        <f>DataIn!E186</f>
        <v>166.43</v>
      </c>
      <c r="F166" s="5">
        <f>DataIn!F186</f>
        <v>0</v>
      </c>
      <c r="G166" s="5">
        <f>DataIn!G186</f>
        <v>109738.76</v>
      </c>
      <c r="H166" s="6" t="b">
        <f>SUMPRODUCT(--ISNUMBER(SEARCH(CategoriesConfig!B$3:B$12,$B166)))&gt;0</f>
        <v>0</v>
      </c>
      <c r="I166" s="6" t="b">
        <f>SUMPRODUCT(--ISNUMBER(SEARCH(CategoriesConfig!C$3:C$12,$B166)))&gt;0</f>
        <v>1</v>
      </c>
      <c r="J166" s="6" t="b">
        <f>SUMPRODUCT(--ISNUMBER(SEARCH(CategoriesConfig!D$3:D$12,$B166)))&gt;0</f>
        <v>0</v>
      </c>
      <c r="K166" s="6" t="b">
        <f>SUMPRODUCT(--ISNUMBER(SEARCH(CategoriesConfig!E$3:E$12,$B166)))&gt;0</f>
        <v>0</v>
      </c>
      <c r="L166" s="6" t="b">
        <f>SUMPRODUCT(--ISNUMBER(SEARCH(CategoriesConfig!F$3:F$12,$B166)))&gt;0</f>
        <v>0</v>
      </c>
      <c r="M166" s="6" t="b">
        <f>SUMPRODUCT(--ISNUMBER(SEARCH(CategoriesConfig!G$3:G$12,$B166)))&gt;0</f>
        <v>0</v>
      </c>
      <c r="N166" s="6" t="b">
        <f>SUMPRODUCT(--ISNUMBER(SEARCH(CategoriesConfig!H$3:H$12,$B166)))&gt;0</f>
        <v>0</v>
      </c>
      <c r="O166" s="6" t="b">
        <f>SUMPRODUCT(--ISNUMBER(SEARCH(CategoriesConfig!I$3:I$12,$B166)))&gt;0</f>
        <v>0</v>
      </c>
      <c r="P166" s="22" t="b">
        <f t="shared" si="6"/>
        <v>0</v>
      </c>
      <c r="Q166" s="22">
        <f t="shared" si="8"/>
        <v>6</v>
      </c>
      <c r="S166" s="6" t="str">
        <f t="shared" si="7"/>
        <v>U</v>
      </c>
    </row>
    <row r="167" spans="1:19" ht="13.5" thickBot="1" x14ac:dyDescent="0.25">
      <c r="A167" s="4">
        <f>DATEVALUE(DataIn!A187)</f>
        <v>42908</v>
      </c>
      <c r="B167" s="5" t="str">
        <f>DataIn!B187</f>
        <v>POS 512967XXXXXX4422 CELEBRATIONS, POS DEBIT</v>
      </c>
      <c r="C167" s="5" t="str">
        <f>DataIn!C187</f>
        <v>0000000000015950</v>
      </c>
      <c r="D167" s="5" t="str">
        <f>DataIn!D187</f>
        <v>22/06/17</v>
      </c>
      <c r="E167" s="5">
        <f>DataIn!E187</f>
        <v>75</v>
      </c>
      <c r="F167" s="5">
        <f>DataIn!F187</f>
        <v>0</v>
      </c>
      <c r="G167" s="5">
        <f>DataIn!G187</f>
        <v>109663.76</v>
      </c>
      <c r="H167" s="6" t="b">
        <f>SUMPRODUCT(--ISNUMBER(SEARCH(CategoriesConfig!B$3:B$12,$B167)))&gt;0</f>
        <v>0</v>
      </c>
      <c r="I167" s="6" t="b">
        <f>SUMPRODUCT(--ISNUMBER(SEARCH(CategoriesConfig!C$3:C$12,$B167)))&gt;0</f>
        <v>0</v>
      </c>
      <c r="J167" s="6" t="b">
        <f>SUMPRODUCT(--ISNUMBER(SEARCH(CategoriesConfig!D$3:D$12,$B167)))&gt;0</f>
        <v>1</v>
      </c>
      <c r="K167" s="6" t="b">
        <f>SUMPRODUCT(--ISNUMBER(SEARCH(CategoriesConfig!E$3:E$12,$B167)))&gt;0</f>
        <v>0</v>
      </c>
      <c r="L167" s="6" t="b">
        <f>SUMPRODUCT(--ISNUMBER(SEARCH(CategoriesConfig!F$3:F$12,$B167)))&gt;0</f>
        <v>0</v>
      </c>
      <c r="M167" s="6" t="b">
        <f>SUMPRODUCT(--ISNUMBER(SEARCH(CategoriesConfig!G$3:G$12,$B167)))&gt;0</f>
        <v>0</v>
      </c>
      <c r="N167" s="6" t="b">
        <f>SUMPRODUCT(--ISNUMBER(SEARCH(CategoriesConfig!H$3:H$12,$B167)))&gt;0</f>
        <v>0</v>
      </c>
      <c r="O167" s="6" t="b">
        <f>SUMPRODUCT(--ISNUMBER(SEARCH(CategoriesConfig!I$3:I$12,$B167)))&gt;0</f>
        <v>0</v>
      </c>
      <c r="P167" s="22" t="b">
        <f t="shared" si="6"/>
        <v>0</v>
      </c>
      <c r="Q167" s="22">
        <f t="shared" si="8"/>
        <v>6</v>
      </c>
      <c r="S167" s="6" t="str">
        <f t="shared" si="7"/>
        <v>L</v>
      </c>
    </row>
    <row r="168" spans="1:19" ht="13.5" thickBot="1" x14ac:dyDescent="0.25">
      <c r="A168" s="4">
        <f>DATEVALUE(DataIn!A188)</f>
        <v>42908</v>
      </c>
      <c r="B168" s="5" t="str">
        <f>DataIn!B188</f>
        <v>NEFT DR-ICIC0000551-SAI SARATHI-NETBANK, MUM-N173170317277459</v>
      </c>
      <c r="C168" s="5" t="str">
        <f>DataIn!C188</f>
        <v>N173170317277459</v>
      </c>
      <c r="D168" s="5" t="str">
        <f>DataIn!D188</f>
        <v>22/06/17</v>
      </c>
      <c r="E168" s="5">
        <f>DataIn!E188</f>
        <v>2500</v>
      </c>
      <c r="F168" s="5">
        <f>DataIn!F188</f>
        <v>0</v>
      </c>
      <c r="G168" s="5">
        <f>DataIn!G188</f>
        <v>107163.76</v>
      </c>
      <c r="H168" s="6" t="b">
        <f>SUMPRODUCT(--ISNUMBER(SEARCH(CategoriesConfig!B$3:B$12,$B168)))&gt;0</f>
        <v>0</v>
      </c>
      <c r="I168" s="6" t="b">
        <f>SUMPRODUCT(--ISNUMBER(SEARCH(CategoriesConfig!C$3:C$12,$B168)))&gt;0</f>
        <v>0</v>
      </c>
      <c r="J168" s="6" t="b">
        <f>SUMPRODUCT(--ISNUMBER(SEARCH(CategoriesConfig!D$3:D$12,$B168)))&gt;0</f>
        <v>0</v>
      </c>
      <c r="K168" s="6" t="b">
        <f>SUMPRODUCT(--ISNUMBER(SEARCH(CategoriesConfig!E$3:E$12,$B168)))&gt;0</f>
        <v>0</v>
      </c>
      <c r="L168" s="6" t="b">
        <f>SUMPRODUCT(--ISNUMBER(SEARCH(CategoriesConfig!F$3:F$12,$B168)))&gt;0</f>
        <v>0</v>
      </c>
      <c r="M168" s="6" t="b">
        <f>SUMPRODUCT(--ISNUMBER(SEARCH(CategoriesConfig!G$3:G$12,$B168)))&gt;0</f>
        <v>0</v>
      </c>
      <c r="N168" s="6" t="b">
        <f>SUMPRODUCT(--ISNUMBER(SEARCH(CategoriesConfig!H$3:H$12,$B168)))&gt;0</f>
        <v>0</v>
      </c>
      <c r="O168" s="6" t="b">
        <f>SUMPRODUCT(--ISNUMBER(SEARCH(CategoriesConfig!I$3:I$12,$B168)))&gt;0</f>
        <v>1</v>
      </c>
      <c r="P168" s="22" t="b">
        <f t="shared" si="6"/>
        <v>0</v>
      </c>
      <c r="Q168" s="22">
        <f t="shared" si="8"/>
        <v>6</v>
      </c>
      <c r="S168" s="6" t="str">
        <f t="shared" si="7"/>
        <v>T</v>
      </c>
    </row>
    <row r="169" spans="1:19" ht="13.5" thickBot="1" x14ac:dyDescent="0.25">
      <c r="A169" s="4">
        <f>DATEVALUE(DataIn!A189)</f>
        <v>42908</v>
      </c>
      <c r="B169" s="5" t="str">
        <f>DataIn!B189</f>
        <v>POS 512967XXXXXX4422 CARROT HEALTH AN POS DEBIT</v>
      </c>
      <c r="C169" s="5" t="str">
        <f>DataIn!C189</f>
        <v>0000000000003090</v>
      </c>
      <c r="D169" s="5" t="str">
        <f>DataIn!D189</f>
        <v>22/06/17</v>
      </c>
      <c r="E169" s="5">
        <f>DataIn!E189</f>
        <v>172</v>
      </c>
      <c r="F169" s="5">
        <f>DataIn!F189</f>
        <v>0</v>
      </c>
      <c r="G169" s="5">
        <f>DataIn!G189</f>
        <v>106991.76</v>
      </c>
      <c r="H169" s="6" t="b">
        <f>SUMPRODUCT(--ISNUMBER(SEARCH(CategoriesConfig!B$3:B$12,$B169)))&gt;0</f>
        <v>0</v>
      </c>
      <c r="I169" s="6" t="b">
        <f>SUMPRODUCT(--ISNUMBER(SEARCH(CategoriesConfig!C$3:C$12,$B169)))&gt;0</f>
        <v>0</v>
      </c>
      <c r="J169" s="6" t="b">
        <f>SUMPRODUCT(--ISNUMBER(SEARCH(CategoriesConfig!D$3:D$12,$B169)))&gt;0</f>
        <v>0</v>
      </c>
      <c r="K169" s="6" t="b">
        <f>SUMPRODUCT(--ISNUMBER(SEARCH(CategoriesConfig!E$3:E$12,$B169)))&gt;0</f>
        <v>0</v>
      </c>
      <c r="L169" s="6" t="b">
        <f>SUMPRODUCT(--ISNUMBER(SEARCH(CategoriesConfig!F$3:F$12,$B169)))&gt;0</f>
        <v>0</v>
      </c>
      <c r="M169" s="6" t="b">
        <f>SUMPRODUCT(--ISNUMBER(SEARCH(CategoriesConfig!G$3:G$12,$B169)))&gt;0</f>
        <v>0</v>
      </c>
      <c r="N169" s="6" t="b">
        <f>SUMPRODUCT(--ISNUMBER(SEARCH(CategoriesConfig!H$3:H$12,$B169)))&gt;0</f>
        <v>0</v>
      </c>
      <c r="O169" s="6" t="b">
        <f>SUMPRODUCT(--ISNUMBER(SEARCH(CategoriesConfig!I$3:I$12,$B169)))&gt;0</f>
        <v>0</v>
      </c>
      <c r="P169" s="22" t="b">
        <f t="shared" si="6"/>
        <v>1</v>
      </c>
      <c r="Q169" s="22">
        <f t="shared" si="8"/>
        <v>6</v>
      </c>
      <c r="R169" s="2" t="s">
        <v>223</v>
      </c>
      <c r="S169" s="6" t="str">
        <f t="shared" si="7"/>
        <v>M</v>
      </c>
    </row>
    <row r="170" spans="1:19" ht="13.5" thickBot="1" x14ac:dyDescent="0.25">
      <c r="A170" s="4">
        <f>DATEVALUE(DataIn!A190)</f>
        <v>42908</v>
      </c>
      <c r="B170" s="5" t="str">
        <f>DataIn!B190</f>
        <v>POS 512967XXXXXX4422 ZES*UBER INDIA S POS DEBIT</v>
      </c>
      <c r="C170" s="5" t="str">
        <f>DataIn!C190</f>
        <v>0000717360314233</v>
      </c>
      <c r="D170" s="5" t="str">
        <f>DataIn!D190</f>
        <v>22/06/17</v>
      </c>
      <c r="E170" s="5">
        <f>DataIn!E190</f>
        <v>161.71</v>
      </c>
      <c r="F170" s="5">
        <f>DataIn!F190</f>
        <v>0</v>
      </c>
      <c r="G170" s="5">
        <f>DataIn!G190</f>
        <v>106830.05</v>
      </c>
      <c r="H170" s="6" t="b">
        <f>SUMPRODUCT(--ISNUMBER(SEARCH(CategoriesConfig!B$3:B$12,$B170)))&gt;0</f>
        <v>0</v>
      </c>
      <c r="I170" s="6" t="b">
        <f>SUMPRODUCT(--ISNUMBER(SEARCH(CategoriesConfig!C$3:C$12,$B170)))&gt;0</f>
        <v>1</v>
      </c>
      <c r="J170" s="6" t="b">
        <f>SUMPRODUCT(--ISNUMBER(SEARCH(CategoriesConfig!D$3:D$12,$B170)))&gt;0</f>
        <v>0</v>
      </c>
      <c r="K170" s="6" t="b">
        <f>SUMPRODUCT(--ISNUMBER(SEARCH(CategoriesConfig!E$3:E$12,$B170)))&gt;0</f>
        <v>0</v>
      </c>
      <c r="L170" s="6" t="b">
        <f>SUMPRODUCT(--ISNUMBER(SEARCH(CategoriesConfig!F$3:F$12,$B170)))&gt;0</f>
        <v>0</v>
      </c>
      <c r="M170" s="6" t="b">
        <f>SUMPRODUCT(--ISNUMBER(SEARCH(CategoriesConfig!G$3:G$12,$B170)))&gt;0</f>
        <v>0</v>
      </c>
      <c r="N170" s="6" t="b">
        <f>SUMPRODUCT(--ISNUMBER(SEARCH(CategoriesConfig!H$3:H$12,$B170)))&gt;0</f>
        <v>0</v>
      </c>
      <c r="O170" s="6" t="b">
        <f>SUMPRODUCT(--ISNUMBER(SEARCH(CategoriesConfig!I$3:I$12,$B170)))&gt;0</f>
        <v>0</v>
      </c>
      <c r="P170" s="22" t="b">
        <f t="shared" si="6"/>
        <v>0</v>
      </c>
      <c r="Q170" s="22">
        <f t="shared" si="8"/>
        <v>6</v>
      </c>
      <c r="S170" s="6" t="str">
        <f t="shared" si="7"/>
        <v>U</v>
      </c>
    </row>
    <row r="171" spans="1:19" ht="13.5" thickBot="1" x14ac:dyDescent="0.25">
      <c r="A171" s="4">
        <f>DATEVALUE(DataIn!A191)</f>
        <v>42909</v>
      </c>
      <c r="B171" s="5" t="str">
        <f>DataIn!B191</f>
        <v>POS 512967XXXXXX4422 PAYU-OLA MONEY - POS DEBIT</v>
      </c>
      <c r="C171" s="5" t="str">
        <f>DataIn!C191</f>
        <v>0000020020680182</v>
      </c>
      <c r="D171" s="5" t="str">
        <f>DataIn!D191</f>
        <v>23/06/17</v>
      </c>
      <c r="E171" s="5">
        <f>DataIn!E191</f>
        <v>599</v>
      </c>
      <c r="F171" s="5">
        <f>DataIn!F191</f>
        <v>0</v>
      </c>
      <c r="G171" s="5">
        <f>DataIn!G191</f>
        <v>106231.05</v>
      </c>
      <c r="H171" s="6" t="b">
        <f>SUMPRODUCT(--ISNUMBER(SEARCH(CategoriesConfig!B$3:B$12,$B171)))&gt;0</f>
        <v>0</v>
      </c>
      <c r="I171" s="6" t="b">
        <f>SUMPRODUCT(--ISNUMBER(SEARCH(CategoriesConfig!C$3:C$12,$B171)))&gt;0</f>
        <v>1</v>
      </c>
      <c r="J171" s="6" t="b">
        <f>SUMPRODUCT(--ISNUMBER(SEARCH(CategoriesConfig!D$3:D$12,$B171)))&gt;0</f>
        <v>0</v>
      </c>
      <c r="K171" s="6" t="b">
        <f>SUMPRODUCT(--ISNUMBER(SEARCH(CategoriesConfig!E$3:E$12,$B171)))&gt;0</f>
        <v>0</v>
      </c>
      <c r="L171" s="6" t="b">
        <f>SUMPRODUCT(--ISNUMBER(SEARCH(CategoriesConfig!F$3:F$12,$B171)))&gt;0</f>
        <v>0</v>
      </c>
      <c r="M171" s="6" t="b">
        <f>SUMPRODUCT(--ISNUMBER(SEARCH(CategoriesConfig!G$3:G$12,$B171)))&gt;0</f>
        <v>0</v>
      </c>
      <c r="N171" s="6" t="b">
        <f>SUMPRODUCT(--ISNUMBER(SEARCH(CategoriesConfig!H$3:H$12,$B171)))&gt;0</f>
        <v>0</v>
      </c>
      <c r="O171" s="6" t="b">
        <f>SUMPRODUCT(--ISNUMBER(SEARCH(CategoriesConfig!I$3:I$12,$B171)))&gt;0</f>
        <v>0</v>
      </c>
      <c r="P171" s="22" t="b">
        <f t="shared" ref="P171:P234" si="9">IF(SUMIF(H171:O171,"TRUE",H$1:O$1)=0,TRUE,FALSE)</f>
        <v>0</v>
      </c>
      <c r="Q171" s="22">
        <f t="shared" si="8"/>
        <v>6</v>
      </c>
      <c r="S171" s="6" t="str">
        <f t="shared" si="7"/>
        <v>U</v>
      </c>
    </row>
    <row r="172" spans="1:19" ht="13.5" thickBot="1" x14ac:dyDescent="0.25">
      <c r="A172" s="4">
        <f>DATEVALUE(DataIn!A192)</f>
        <v>42909</v>
      </c>
      <c r="B172" s="5" t="str">
        <f>DataIn!B192</f>
        <v>POS 512967XXXXXX4422 CELEBRATIONS, POS DEBIT</v>
      </c>
      <c r="C172" s="5" t="str">
        <f>DataIn!C192</f>
        <v>0000000000016354</v>
      </c>
      <c r="D172" s="5" t="str">
        <f>DataIn!D192</f>
        <v>23/06/17</v>
      </c>
      <c r="E172" s="5">
        <f>DataIn!E192</f>
        <v>75</v>
      </c>
      <c r="F172" s="5">
        <f>DataIn!F192</f>
        <v>0</v>
      </c>
      <c r="G172" s="5">
        <f>DataIn!G192</f>
        <v>106156.05</v>
      </c>
      <c r="H172" s="6" t="b">
        <f>SUMPRODUCT(--ISNUMBER(SEARCH(CategoriesConfig!B$3:B$12,$B172)))&gt;0</f>
        <v>0</v>
      </c>
      <c r="I172" s="6" t="b">
        <f>SUMPRODUCT(--ISNUMBER(SEARCH(CategoriesConfig!C$3:C$12,$B172)))&gt;0</f>
        <v>0</v>
      </c>
      <c r="J172" s="6" t="b">
        <f>SUMPRODUCT(--ISNUMBER(SEARCH(CategoriesConfig!D$3:D$12,$B172)))&gt;0</f>
        <v>1</v>
      </c>
      <c r="K172" s="6" t="b">
        <f>SUMPRODUCT(--ISNUMBER(SEARCH(CategoriesConfig!E$3:E$12,$B172)))&gt;0</f>
        <v>0</v>
      </c>
      <c r="L172" s="6" t="b">
        <f>SUMPRODUCT(--ISNUMBER(SEARCH(CategoriesConfig!F$3:F$12,$B172)))&gt;0</f>
        <v>0</v>
      </c>
      <c r="M172" s="6" t="b">
        <f>SUMPRODUCT(--ISNUMBER(SEARCH(CategoriesConfig!G$3:G$12,$B172)))&gt;0</f>
        <v>0</v>
      </c>
      <c r="N172" s="6" t="b">
        <f>SUMPRODUCT(--ISNUMBER(SEARCH(CategoriesConfig!H$3:H$12,$B172)))&gt;0</f>
        <v>0</v>
      </c>
      <c r="O172" s="6" t="b">
        <f>SUMPRODUCT(--ISNUMBER(SEARCH(CategoriesConfig!I$3:I$12,$B172)))&gt;0</f>
        <v>0</v>
      </c>
      <c r="P172" s="22" t="b">
        <f t="shared" si="9"/>
        <v>0</v>
      </c>
      <c r="Q172" s="22">
        <f t="shared" si="8"/>
        <v>6</v>
      </c>
      <c r="S172" s="6" t="str">
        <f t="shared" si="7"/>
        <v>L</v>
      </c>
    </row>
    <row r="173" spans="1:19" ht="13.5" thickBot="1" x14ac:dyDescent="0.25">
      <c r="A173" s="4">
        <f>DATEVALUE(DataIn!A193)</f>
        <v>42909</v>
      </c>
      <c r="B173" s="5" t="str">
        <f>DataIn!B193</f>
        <v>POS 512967XXXXXX4422 PLAN B POS DEBIT</v>
      </c>
      <c r="C173" s="5" t="str">
        <f>DataIn!C193</f>
        <v>0000000000003241</v>
      </c>
      <c r="D173" s="5" t="str">
        <f>DataIn!D193</f>
        <v>23/06/17</v>
      </c>
      <c r="E173" s="5">
        <f>DataIn!E193</f>
        <v>1625</v>
      </c>
      <c r="F173" s="5">
        <f>DataIn!F193</f>
        <v>0</v>
      </c>
      <c r="G173" s="5">
        <f>DataIn!G193</f>
        <v>104531.05</v>
      </c>
      <c r="H173" s="6" t="b">
        <f>SUMPRODUCT(--ISNUMBER(SEARCH(CategoriesConfig!B$3:B$12,$B173)))&gt;0</f>
        <v>0</v>
      </c>
      <c r="I173" s="6" t="b">
        <f>SUMPRODUCT(--ISNUMBER(SEARCH(CategoriesConfig!C$3:C$12,$B173)))&gt;0</f>
        <v>0</v>
      </c>
      <c r="J173" s="6" t="b">
        <f>SUMPRODUCT(--ISNUMBER(SEARCH(CategoriesConfig!D$3:D$12,$B173)))&gt;0</f>
        <v>0</v>
      </c>
      <c r="K173" s="6" t="b">
        <f>SUMPRODUCT(--ISNUMBER(SEARCH(CategoriesConfig!E$3:E$12,$B173)))&gt;0</f>
        <v>0</v>
      </c>
      <c r="L173" s="6" t="b">
        <f>SUMPRODUCT(--ISNUMBER(SEARCH(CategoriesConfig!F$3:F$12,$B173)))&gt;0</f>
        <v>1</v>
      </c>
      <c r="M173" s="6" t="b">
        <f>SUMPRODUCT(--ISNUMBER(SEARCH(CategoriesConfig!G$3:G$12,$B173)))&gt;0</f>
        <v>0</v>
      </c>
      <c r="N173" s="6" t="b">
        <f>SUMPRODUCT(--ISNUMBER(SEARCH(CategoriesConfig!H$3:H$12,$B173)))&gt;0</f>
        <v>0</v>
      </c>
      <c r="O173" s="6" t="b">
        <f>SUMPRODUCT(--ISNUMBER(SEARCH(CategoriesConfig!I$3:I$12,$B173)))&gt;0</f>
        <v>0</v>
      </c>
      <c r="P173" s="22" t="b">
        <f t="shared" si="9"/>
        <v>0</v>
      </c>
      <c r="Q173" s="22">
        <f t="shared" si="8"/>
        <v>6</v>
      </c>
      <c r="S173" s="6" t="str">
        <f t="shared" si="7"/>
        <v>F</v>
      </c>
    </row>
    <row r="174" spans="1:19" ht="13.5" thickBot="1" x14ac:dyDescent="0.25">
      <c r="A174" s="4">
        <f>DATEVALUE(DataIn!A194)</f>
        <v>42910</v>
      </c>
      <c r="B174" s="5" t="str">
        <f>DataIn!B194</f>
        <v>POS 512967XXXXXX4422 ZES*UBER INDIA S POS DEBIT</v>
      </c>
      <c r="C174" s="5" t="str">
        <f>DataIn!C194</f>
        <v>0000717540194630</v>
      </c>
      <c r="D174" s="5" t="str">
        <f>DataIn!D194</f>
        <v>24/06/17</v>
      </c>
      <c r="E174" s="5">
        <f>DataIn!E194</f>
        <v>149.94</v>
      </c>
      <c r="F174" s="5">
        <f>DataIn!F194</f>
        <v>0</v>
      </c>
      <c r="G174" s="5">
        <f>DataIn!G194</f>
        <v>104381.11</v>
      </c>
      <c r="H174" s="6" t="b">
        <f>SUMPRODUCT(--ISNUMBER(SEARCH(CategoriesConfig!B$3:B$12,$B174)))&gt;0</f>
        <v>0</v>
      </c>
      <c r="I174" s="6" t="b">
        <f>SUMPRODUCT(--ISNUMBER(SEARCH(CategoriesConfig!C$3:C$12,$B174)))&gt;0</f>
        <v>1</v>
      </c>
      <c r="J174" s="6" t="b">
        <f>SUMPRODUCT(--ISNUMBER(SEARCH(CategoriesConfig!D$3:D$12,$B174)))&gt;0</f>
        <v>0</v>
      </c>
      <c r="K174" s="6" t="b">
        <f>SUMPRODUCT(--ISNUMBER(SEARCH(CategoriesConfig!E$3:E$12,$B174)))&gt;0</f>
        <v>0</v>
      </c>
      <c r="L174" s="6" t="b">
        <f>SUMPRODUCT(--ISNUMBER(SEARCH(CategoriesConfig!F$3:F$12,$B174)))&gt;0</f>
        <v>0</v>
      </c>
      <c r="M174" s="6" t="b">
        <f>SUMPRODUCT(--ISNUMBER(SEARCH(CategoriesConfig!G$3:G$12,$B174)))&gt;0</f>
        <v>0</v>
      </c>
      <c r="N174" s="6" t="b">
        <f>SUMPRODUCT(--ISNUMBER(SEARCH(CategoriesConfig!H$3:H$12,$B174)))&gt;0</f>
        <v>0</v>
      </c>
      <c r="O174" s="6" t="b">
        <f>SUMPRODUCT(--ISNUMBER(SEARCH(CategoriesConfig!I$3:I$12,$B174)))&gt;0</f>
        <v>0</v>
      </c>
      <c r="P174" s="22" t="b">
        <f t="shared" si="9"/>
        <v>0</v>
      </c>
      <c r="Q174" s="22">
        <f t="shared" si="8"/>
        <v>6</v>
      </c>
      <c r="S174" s="6" t="str">
        <f t="shared" si="7"/>
        <v>U</v>
      </c>
    </row>
    <row r="175" spans="1:19" ht="13.5" thickBot="1" x14ac:dyDescent="0.25">
      <c r="A175" s="4">
        <f>DATEVALUE(DataIn!A195)</f>
        <v>42910</v>
      </c>
      <c r="B175" s="5" t="str">
        <f>DataIn!B195</f>
        <v>POS 512967XXXXXX4422 THE BEER CAFE POS DEBIT</v>
      </c>
      <c r="C175" s="5" t="str">
        <f>DataIn!C195</f>
        <v>0000000000431719</v>
      </c>
      <c r="D175" s="5" t="str">
        <f>DataIn!D195</f>
        <v>24/06/17</v>
      </c>
      <c r="E175" s="5">
        <f>DataIn!E195</f>
        <v>174</v>
      </c>
      <c r="F175" s="5">
        <f>DataIn!F195</f>
        <v>0</v>
      </c>
      <c r="G175" s="5">
        <f>DataIn!G195</f>
        <v>104207.11</v>
      </c>
      <c r="H175" s="6" t="b">
        <f>SUMPRODUCT(--ISNUMBER(SEARCH(CategoriesConfig!B$3:B$12,$B175)))&gt;0</f>
        <v>0</v>
      </c>
      <c r="I175" s="6" t="b">
        <f>SUMPRODUCT(--ISNUMBER(SEARCH(CategoriesConfig!C$3:C$12,$B175)))&gt;0</f>
        <v>0</v>
      </c>
      <c r="J175" s="6" t="b">
        <f>SUMPRODUCT(--ISNUMBER(SEARCH(CategoriesConfig!D$3:D$12,$B175)))&gt;0</f>
        <v>0</v>
      </c>
      <c r="K175" s="6" t="b">
        <f>SUMPRODUCT(--ISNUMBER(SEARCH(CategoriesConfig!E$3:E$12,$B175)))&gt;0</f>
        <v>0</v>
      </c>
      <c r="L175" s="6" t="b">
        <f>SUMPRODUCT(--ISNUMBER(SEARCH(CategoriesConfig!F$3:F$12,$B175)))&gt;0</f>
        <v>1</v>
      </c>
      <c r="M175" s="6" t="b">
        <f>SUMPRODUCT(--ISNUMBER(SEARCH(CategoriesConfig!G$3:G$12,$B175)))&gt;0</f>
        <v>0</v>
      </c>
      <c r="N175" s="6" t="b">
        <f>SUMPRODUCT(--ISNUMBER(SEARCH(CategoriesConfig!H$3:H$12,$B175)))&gt;0</f>
        <v>0</v>
      </c>
      <c r="O175" s="6" t="b">
        <f>SUMPRODUCT(--ISNUMBER(SEARCH(CategoriesConfig!I$3:I$12,$B175)))&gt;0</f>
        <v>0</v>
      </c>
      <c r="P175" s="22" t="b">
        <f t="shared" si="9"/>
        <v>0</v>
      </c>
      <c r="Q175" s="22">
        <f t="shared" si="8"/>
        <v>6</v>
      </c>
      <c r="S175" s="6" t="str">
        <f t="shared" si="7"/>
        <v>F</v>
      </c>
    </row>
    <row r="176" spans="1:19" ht="13.5" thickBot="1" x14ac:dyDescent="0.25">
      <c r="A176" s="4">
        <f>DATEVALUE(DataIn!A196)</f>
        <v>42910</v>
      </c>
      <c r="B176" s="5" t="str">
        <f>DataIn!B196</f>
        <v>POS 512967XXXXXX4422 THE BEER CAFE POS DEBIT</v>
      </c>
      <c r="C176" s="5" t="str">
        <f>DataIn!C196</f>
        <v>0000000000715670</v>
      </c>
      <c r="D176" s="5" t="str">
        <f>DataIn!D196</f>
        <v>24/06/17</v>
      </c>
      <c r="E176" s="5">
        <f>DataIn!E196</f>
        <v>278</v>
      </c>
      <c r="F176" s="5">
        <f>DataIn!F196</f>
        <v>0</v>
      </c>
      <c r="G176" s="5">
        <f>DataIn!G196</f>
        <v>103929.11</v>
      </c>
      <c r="H176" s="6" t="b">
        <f>SUMPRODUCT(--ISNUMBER(SEARCH(CategoriesConfig!B$3:B$12,$B176)))&gt;0</f>
        <v>0</v>
      </c>
      <c r="I176" s="6" t="b">
        <f>SUMPRODUCT(--ISNUMBER(SEARCH(CategoriesConfig!C$3:C$12,$B176)))&gt;0</f>
        <v>0</v>
      </c>
      <c r="J176" s="6" t="b">
        <f>SUMPRODUCT(--ISNUMBER(SEARCH(CategoriesConfig!D$3:D$12,$B176)))&gt;0</f>
        <v>0</v>
      </c>
      <c r="K176" s="6" t="b">
        <f>SUMPRODUCT(--ISNUMBER(SEARCH(CategoriesConfig!E$3:E$12,$B176)))&gt;0</f>
        <v>0</v>
      </c>
      <c r="L176" s="6" t="b">
        <f>SUMPRODUCT(--ISNUMBER(SEARCH(CategoriesConfig!F$3:F$12,$B176)))&gt;0</f>
        <v>1</v>
      </c>
      <c r="M176" s="6" t="b">
        <f>SUMPRODUCT(--ISNUMBER(SEARCH(CategoriesConfig!G$3:G$12,$B176)))&gt;0</f>
        <v>0</v>
      </c>
      <c r="N176" s="6" t="b">
        <f>SUMPRODUCT(--ISNUMBER(SEARCH(CategoriesConfig!H$3:H$12,$B176)))&gt;0</f>
        <v>0</v>
      </c>
      <c r="O176" s="6" t="b">
        <f>SUMPRODUCT(--ISNUMBER(SEARCH(CategoriesConfig!I$3:I$12,$B176)))&gt;0</f>
        <v>0</v>
      </c>
      <c r="P176" s="22" t="b">
        <f t="shared" si="9"/>
        <v>0</v>
      </c>
      <c r="Q176" s="22">
        <f t="shared" si="8"/>
        <v>6</v>
      </c>
      <c r="S176" s="6" t="str">
        <f t="shared" si="7"/>
        <v>F</v>
      </c>
    </row>
    <row r="177" spans="1:19" ht="13.5" thickBot="1" x14ac:dyDescent="0.25">
      <c r="A177" s="4">
        <f>DATEVALUE(DataIn!A197)</f>
        <v>42910</v>
      </c>
      <c r="B177" s="5" t="str">
        <f>DataIn!B197</f>
        <v>NWD-512967XXXXXX4422-40583001-BANGALORE</v>
      </c>
      <c r="C177" s="5" t="str">
        <f>DataIn!C197</f>
        <v>0000717514011502</v>
      </c>
      <c r="D177" s="5" t="str">
        <f>DataIn!D197</f>
        <v>24/06/17</v>
      </c>
      <c r="E177" s="5">
        <f>DataIn!E197</f>
        <v>3000</v>
      </c>
      <c r="F177" s="5">
        <f>DataIn!F197</f>
        <v>0</v>
      </c>
      <c r="G177" s="5">
        <f>DataIn!G197</f>
        <v>100929.11</v>
      </c>
      <c r="H177" s="6" t="b">
        <f>SUMPRODUCT(--ISNUMBER(SEARCH(CategoriesConfig!B$3:B$12,$B177)))&gt;0</f>
        <v>0</v>
      </c>
      <c r="I177" s="6" t="b">
        <f>SUMPRODUCT(--ISNUMBER(SEARCH(CategoriesConfig!C$3:C$12,$B177)))&gt;0</f>
        <v>0</v>
      </c>
      <c r="J177" s="6" t="b">
        <f>SUMPRODUCT(--ISNUMBER(SEARCH(CategoriesConfig!D$3:D$12,$B177)))&gt;0</f>
        <v>0</v>
      </c>
      <c r="K177" s="6" t="b">
        <f>SUMPRODUCT(--ISNUMBER(SEARCH(CategoriesConfig!E$3:E$12,$B177)))&gt;0</f>
        <v>0</v>
      </c>
      <c r="L177" s="6" t="b">
        <f>SUMPRODUCT(--ISNUMBER(SEARCH(CategoriesConfig!F$3:F$12,$B177)))&gt;0</f>
        <v>0</v>
      </c>
      <c r="M177" s="6" t="b">
        <f>SUMPRODUCT(--ISNUMBER(SEARCH(CategoriesConfig!G$3:G$12,$B177)))&gt;0</f>
        <v>0</v>
      </c>
      <c r="N177" s="6" t="b">
        <f>SUMPRODUCT(--ISNUMBER(SEARCH(CategoriesConfig!H$3:H$12,$B177)))&gt;0</f>
        <v>1</v>
      </c>
      <c r="O177" s="6" t="b">
        <f>SUMPRODUCT(--ISNUMBER(SEARCH(CategoriesConfig!I$3:I$12,$B177)))&gt;0</f>
        <v>0</v>
      </c>
      <c r="P177" s="22" t="b">
        <f t="shared" si="9"/>
        <v>0</v>
      </c>
      <c r="Q177" s="22">
        <f t="shared" si="8"/>
        <v>6</v>
      </c>
      <c r="S177" s="6" t="str">
        <f t="shared" si="7"/>
        <v>C</v>
      </c>
    </row>
    <row r="178" spans="1:19" ht="13.5" thickBot="1" x14ac:dyDescent="0.25">
      <c r="A178" s="4">
        <f>DATEVALUE(DataIn!A198)</f>
        <v>42910</v>
      </c>
      <c r="B178" s="5" t="str">
        <f>DataIn!B198</f>
        <v>POS 512967XXXXXX4422 MADHULOKA LIQUOR POS DEBIT</v>
      </c>
      <c r="C178" s="5" t="str">
        <f>DataIn!C198</f>
        <v>0000000000025458</v>
      </c>
      <c r="D178" s="5" t="str">
        <f>DataIn!D198</f>
        <v>24/06/17</v>
      </c>
      <c r="E178" s="5">
        <f>DataIn!E198</f>
        <v>630</v>
      </c>
      <c r="F178" s="5">
        <f>DataIn!F198</f>
        <v>0</v>
      </c>
      <c r="G178" s="5">
        <f>DataIn!G198</f>
        <v>100299.11</v>
      </c>
      <c r="H178" s="6" t="b">
        <f>SUMPRODUCT(--ISNUMBER(SEARCH(CategoriesConfig!B$3:B$12,$B178)))&gt;0</f>
        <v>0</v>
      </c>
      <c r="I178" s="6" t="b">
        <f>SUMPRODUCT(--ISNUMBER(SEARCH(CategoriesConfig!C$3:C$12,$B178)))&gt;0</f>
        <v>0</v>
      </c>
      <c r="J178" s="6" t="b">
        <f>SUMPRODUCT(--ISNUMBER(SEARCH(CategoriesConfig!D$3:D$12,$B178)))&gt;0</f>
        <v>0</v>
      </c>
      <c r="K178" s="6" t="b">
        <f>SUMPRODUCT(--ISNUMBER(SEARCH(CategoriesConfig!E$3:E$12,$B178)))&gt;0</f>
        <v>0</v>
      </c>
      <c r="L178" s="6" t="b">
        <f>SUMPRODUCT(--ISNUMBER(SEARCH(CategoriesConfig!F$3:F$12,$B178)))&gt;0</f>
        <v>0</v>
      </c>
      <c r="M178" s="6" t="b">
        <f>SUMPRODUCT(--ISNUMBER(SEARCH(CategoriesConfig!G$3:G$12,$B178)))&gt;0</f>
        <v>0</v>
      </c>
      <c r="N178" s="6" t="b">
        <f>SUMPRODUCT(--ISNUMBER(SEARCH(CategoriesConfig!H$3:H$12,$B178)))&gt;0</f>
        <v>0</v>
      </c>
      <c r="O178" s="6" t="b">
        <f>SUMPRODUCT(--ISNUMBER(SEARCH(CategoriesConfig!I$3:I$12,$B178)))&gt;0</f>
        <v>0</v>
      </c>
      <c r="P178" s="22" t="b">
        <f t="shared" si="9"/>
        <v>1</v>
      </c>
      <c r="Q178" s="22">
        <f t="shared" si="8"/>
        <v>6</v>
      </c>
      <c r="R178" s="2" t="s">
        <v>221</v>
      </c>
      <c r="S178" s="6" t="str">
        <f t="shared" si="7"/>
        <v>F</v>
      </c>
    </row>
    <row r="179" spans="1:19" ht="13.5" thickBot="1" x14ac:dyDescent="0.25">
      <c r="A179" s="4">
        <f>DATEVALUE(DataIn!A199)</f>
        <v>42911</v>
      </c>
      <c r="B179" s="5" t="str">
        <f>DataIn!B199</f>
        <v>POS 512967XXXXXX4422 MUNI WINES POS DEBIT</v>
      </c>
      <c r="C179" s="5" t="str">
        <f>DataIn!C199</f>
        <v>0000000000794516</v>
      </c>
      <c r="D179" s="5" t="str">
        <f>DataIn!D199</f>
        <v>25/06/17</v>
      </c>
      <c r="E179" s="5">
        <f>DataIn!E199</f>
        <v>1180</v>
      </c>
      <c r="F179" s="5">
        <f>DataIn!F199</f>
        <v>0</v>
      </c>
      <c r="G179" s="5">
        <f>DataIn!G199</f>
        <v>99119.11</v>
      </c>
      <c r="H179" s="6" t="b">
        <f>SUMPRODUCT(--ISNUMBER(SEARCH(CategoriesConfig!B$3:B$12,$B179)))&gt;0</f>
        <v>0</v>
      </c>
      <c r="I179" s="6" t="b">
        <f>SUMPRODUCT(--ISNUMBER(SEARCH(CategoriesConfig!C$3:C$12,$B179)))&gt;0</f>
        <v>0</v>
      </c>
      <c r="J179" s="6" t="b">
        <f>SUMPRODUCT(--ISNUMBER(SEARCH(CategoriesConfig!D$3:D$12,$B179)))&gt;0</f>
        <v>0</v>
      </c>
      <c r="K179" s="6" t="b">
        <f>SUMPRODUCT(--ISNUMBER(SEARCH(CategoriesConfig!E$3:E$12,$B179)))&gt;0</f>
        <v>0</v>
      </c>
      <c r="L179" s="6" t="b">
        <f>SUMPRODUCT(--ISNUMBER(SEARCH(CategoriesConfig!F$3:F$12,$B179)))&gt;0</f>
        <v>1</v>
      </c>
      <c r="M179" s="6" t="b">
        <f>SUMPRODUCT(--ISNUMBER(SEARCH(CategoriesConfig!G$3:G$12,$B179)))&gt;0</f>
        <v>0</v>
      </c>
      <c r="N179" s="6" t="b">
        <f>SUMPRODUCT(--ISNUMBER(SEARCH(CategoriesConfig!H$3:H$12,$B179)))&gt;0</f>
        <v>0</v>
      </c>
      <c r="O179" s="6" t="b">
        <f>SUMPRODUCT(--ISNUMBER(SEARCH(CategoriesConfig!I$3:I$12,$B179)))&gt;0</f>
        <v>0</v>
      </c>
      <c r="P179" s="22" t="b">
        <f t="shared" si="9"/>
        <v>0</v>
      </c>
      <c r="Q179" s="22">
        <f t="shared" si="8"/>
        <v>6</v>
      </c>
      <c r="S179" s="6" t="str">
        <f t="shared" si="7"/>
        <v>F</v>
      </c>
    </row>
    <row r="180" spans="1:19" ht="13.5" thickBot="1" x14ac:dyDescent="0.25">
      <c r="A180" s="4">
        <f>DATEVALUE(DataIn!A200)</f>
        <v>42911</v>
      </c>
      <c r="B180" s="5" t="str">
        <f>DataIn!B200</f>
        <v>POS 512967XXXXXX4422 HARD ROCK CAFE. POS DEBIT</v>
      </c>
      <c r="C180" s="5" t="str">
        <f>DataIn!C200</f>
        <v>0000000000011266</v>
      </c>
      <c r="D180" s="5" t="str">
        <f>DataIn!D200</f>
        <v>26/06/17</v>
      </c>
      <c r="E180" s="5">
        <f>DataIn!E200</f>
        <v>352</v>
      </c>
      <c r="F180" s="5">
        <f>DataIn!F200</f>
        <v>0</v>
      </c>
      <c r="G180" s="5">
        <f>DataIn!G200</f>
        <v>98767.11</v>
      </c>
      <c r="H180" s="6" t="b">
        <f>SUMPRODUCT(--ISNUMBER(SEARCH(CategoriesConfig!B$3:B$12,$B180)))&gt;0</f>
        <v>0</v>
      </c>
      <c r="I180" s="6" t="b">
        <f>SUMPRODUCT(--ISNUMBER(SEARCH(CategoriesConfig!C$3:C$12,$B180)))&gt;0</f>
        <v>0</v>
      </c>
      <c r="J180" s="6" t="b">
        <f>SUMPRODUCT(--ISNUMBER(SEARCH(CategoriesConfig!D$3:D$12,$B180)))&gt;0</f>
        <v>0</v>
      </c>
      <c r="K180" s="6" t="b">
        <f>SUMPRODUCT(--ISNUMBER(SEARCH(CategoriesConfig!E$3:E$12,$B180)))&gt;0</f>
        <v>0</v>
      </c>
      <c r="L180" s="6" t="b">
        <f>SUMPRODUCT(--ISNUMBER(SEARCH(CategoriesConfig!F$3:F$12,$B180)))&gt;0</f>
        <v>0</v>
      </c>
      <c r="M180" s="6" t="b">
        <f>SUMPRODUCT(--ISNUMBER(SEARCH(CategoriesConfig!G$3:G$12,$B180)))&gt;0</f>
        <v>0</v>
      </c>
      <c r="N180" s="6" t="b">
        <f>SUMPRODUCT(--ISNUMBER(SEARCH(CategoriesConfig!H$3:H$12,$B180)))&gt;0</f>
        <v>0</v>
      </c>
      <c r="O180" s="6" t="b">
        <f>SUMPRODUCT(--ISNUMBER(SEARCH(CategoriesConfig!I$3:I$12,$B180)))&gt;0</f>
        <v>0</v>
      </c>
      <c r="P180" s="22" t="b">
        <f t="shared" si="9"/>
        <v>1</v>
      </c>
      <c r="Q180" s="22">
        <f t="shared" si="8"/>
        <v>6</v>
      </c>
      <c r="R180" s="2" t="s">
        <v>221</v>
      </c>
      <c r="S180" s="6" t="str">
        <f t="shared" si="7"/>
        <v>F</v>
      </c>
    </row>
    <row r="181" spans="1:19" ht="13.5" thickBot="1" x14ac:dyDescent="0.25">
      <c r="A181" s="4">
        <f>DATEVALUE(DataIn!A201)</f>
        <v>42912</v>
      </c>
      <c r="B181" s="5" t="str">
        <f>DataIn!B201</f>
        <v>POS 512967XXXXXX4422 CAFE COFFEE DAY POS DEBIT</v>
      </c>
      <c r="C181" s="5" t="str">
        <f>DataIn!C201</f>
        <v>0000000000401004</v>
      </c>
      <c r="D181" s="5" t="str">
        <f>DataIn!D201</f>
        <v>26/06/17</v>
      </c>
      <c r="E181" s="5">
        <f>DataIn!E201</f>
        <v>133</v>
      </c>
      <c r="F181" s="5">
        <f>DataIn!F201</f>
        <v>0</v>
      </c>
      <c r="G181" s="5">
        <f>DataIn!G201</f>
        <v>98634.11</v>
      </c>
      <c r="H181" s="6" t="b">
        <f>SUMPRODUCT(--ISNUMBER(SEARCH(CategoriesConfig!B$3:B$12,$B181)))&gt;0</f>
        <v>0</v>
      </c>
      <c r="I181" s="6" t="b">
        <f>SUMPRODUCT(--ISNUMBER(SEARCH(CategoriesConfig!C$3:C$12,$B181)))&gt;0</f>
        <v>0</v>
      </c>
      <c r="J181" s="6" t="b">
        <f>SUMPRODUCT(--ISNUMBER(SEARCH(CategoriesConfig!D$3:D$12,$B181)))&gt;0</f>
        <v>0</v>
      </c>
      <c r="K181" s="6" t="b">
        <f>SUMPRODUCT(--ISNUMBER(SEARCH(CategoriesConfig!E$3:E$12,$B181)))&gt;0</f>
        <v>0</v>
      </c>
      <c r="L181" s="6" t="b">
        <f>SUMPRODUCT(--ISNUMBER(SEARCH(CategoriesConfig!F$3:F$12,$B181)))&gt;0</f>
        <v>1</v>
      </c>
      <c r="M181" s="6" t="b">
        <f>SUMPRODUCT(--ISNUMBER(SEARCH(CategoriesConfig!G$3:G$12,$B181)))&gt;0</f>
        <v>0</v>
      </c>
      <c r="N181" s="6" t="b">
        <f>SUMPRODUCT(--ISNUMBER(SEARCH(CategoriesConfig!H$3:H$12,$B181)))&gt;0</f>
        <v>0</v>
      </c>
      <c r="O181" s="6" t="b">
        <f>SUMPRODUCT(--ISNUMBER(SEARCH(CategoriesConfig!I$3:I$12,$B181)))&gt;0</f>
        <v>0</v>
      </c>
      <c r="P181" s="22" t="b">
        <f t="shared" si="9"/>
        <v>0</v>
      </c>
      <c r="Q181" s="22">
        <f t="shared" si="8"/>
        <v>6</v>
      </c>
      <c r="S181" s="6" t="str">
        <f t="shared" si="7"/>
        <v>F</v>
      </c>
    </row>
    <row r="182" spans="1:19" ht="13.5" thickBot="1" x14ac:dyDescent="0.25">
      <c r="A182" s="4">
        <f>DATEVALUE(DataIn!A202)</f>
        <v>42913</v>
      </c>
      <c r="B182" s="5" t="str">
        <f>DataIn!B202</f>
        <v>POS 512967XXXXXX4422 ZES*UBER INDIA S POS DEBIT</v>
      </c>
      <c r="C182" s="5" t="str">
        <f>DataIn!C202</f>
        <v>0000717840045041</v>
      </c>
      <c r="D182" s="5" t="str">
        <f>DataIn!D202</f>
        <v>27/06/17</v>
      </c>
      <c r="E182" s="5">
        <f>DataIn!E202</f>
        <v>120.44</v>
      </c>
      <c r="F182" s="5">
        <f>DataIn!F202</f>
        <v>0</v>
      </c>
      <c r="G182" s="5">
        <f>DataIn!G202</f>
        <v>98513.67</v>
      </c>
      <c r="H182" s="6" t="b">
        <f>SUMPRODUCT(--ISNUMBER(SEARCH(CategoriesConfig!B$3:B$12,$B182)))&gt;0</f>
        <v>0</v>
      </c>
      <c r="I182" s="6" t="b">
        <f>SUMPRODUCT(--ISNUMBER(SEARCH(CategoriesConfig!C$3:C$12,$B182)))&gt;0</f>
        <v>1</v>
      </c>
      <c r="J182" s="6" t="b">
        <f>SUMPRODUCT(--ISNUMBER(SEARCH(CategoriesConfig!D$3:D$12,$B182)))&gt;0</f>
        <v>0</v>
      </c>
      <c r="K182" s="6" t="b">
        <f>SUMPRODUCT(--ISNUMBER(SEARCH(CategoriesConfig!E$3:E$12,$B182)))&gt;0</f>
        <v>0</v>
      </c>
      <c r="L182" s="6" t="b">
        <f>SUMPRODUCT(--ISNUMBER(SEARCH(CategoriesConfig!F$3:F$12,$B182)))&gt;0</f>
        <v>0</v>
      </c>
      <c r="M182" s="6" t="b">
        <f>SUMPRODUCT(--ISNUMBER(SEARCH(CategoriesConfig!G$3:G$12,$B182)))&gt;0</f>
        <v>0</v>
      </c>
      <c r="N182" s="6" t="b">
        <f>SUMPRODUCT(--ISNUMBER(SEARCH(CategoriesConfig!H$3:H$12,$B182)))&gt;0</f>
        <v>0</v>
      </c>
      <c r="O182" s="6" t="b">
        <f>SUMPRODUCT(--ISNUMBER(SEARCH(CategoriesConfig!I$3:I$12,$B182)))&gt;0</f>
        <v>0</v>
      </c>
      <c r="P182" s="22" t="b">
        <f t="shared" si="9"/>
        <v>0</v>
      </c>
      <c r="Q182" s="22">
        <f t="shared" si="8"/>
        <v>6</v>
      </c>
      <c r="S182" s="6" t="str">
        <f t="shared" si="7"/>
        <v>U</v>
      </c>
    </row>
    <row r="183" spans="1:19" ht="13.5" thickBot="1" x14ac:dyDescent="0.25">
      <c r="A183" s="4">
        <f>DATEVALUE(DataIn!A203)</f>
        <v>42913</v>
      </c>
      <c r="B183" s="5" t="str">
        <f>DataIn!B203</f>
        <v>POS 512967XXXXXX4422 CELEBRATIONS, POS DEBIT</v>
      </c>
      <c r="C183" s="5" t="str">
        <f>DataIn!C203</f>
        <v>0000000000016833</v>
      </c>
      <c r="D183" s="5" t="str">
        <f>DataIn!D203</f>
        <v>27/06/17</v>
      </c>
      <c r="E183" s="5">
        <f>DataIn!E203</f>
        <v>125</v>
      </c>
      <c r="F183" s="5">
        <f>DataIn!F203</f>
        <v>0</v>
      </c>
      <c r="G183" s="5">
        <f>DataIn!G203</f>
        <v>98388.67</v>
      </c>
      <c r="H183" s="6" t="b">
        <f>SUMPRODUCT(--ISNUMBER(SEARCH(CategoriesConfig!B$3:B$12,$B183)))&gt;0</f>
        <v>0</v>
      </c>
      <c r="I183" s="6" t="b">
        <f>SUMPRODUCT(--ISNUMBER(SEARCH(CategoriesConfig!C$3:C$12,$B183)))&gt;0</f>
        <v>0</v>
      </c>
      <c r="J183" s="6" t="b">
        <f>SUMPRODUCT(--ISNUMBER(SEARCH(CategoriesConfig!D$3:D$12,$B183)))&gt;0</f>
        <v>1</v>
      </c>
      <c r="K183" s="6" t="b">
        <f>SUMPRODUCT(--ISNUMBER(SEARCH(CategoriesConfig!E$3:E$12,$B183)))&gt;0</f>
        <v>0</v>
      </c>
      <c r="L183" s="6" t="b">
        <f>SUMPRODUCT(--ISNUMBER(SEARCH(CategoriesConfig!F$3:F$12,$B183)))&gt;0</f>
        <v>0</v>
      </c>
      <c r="M183" s="6" t="b">
        <f>SUMPRODUCT(--ISNUMBER(SEARCH(CategoriesConfig!G$3:G$12,$B183)))&gt;0</f>
        <v>0</v>
      </c>
      <c r="N183" s="6" t="b">
        <f>SUMPRODUCT(--ISNUMBER(SEARCH(CategoriesConfig!H$3:H$12,$B183)))&gt;0</f>
        <v>0</v>
      </c>
      <c r="O183" s="6" t="b">
        <f>SUMPRODUCT(--ISNUMBER(SEARCH(CategoriesConfig!I$3:I$12,$B183)))&gt;0</f>
        <v>0</v>
      </c>
      <c r="P183" s="22" t="b">
        <f t="shared" si="9"/>
        <v>0</v>
      </c>
      <c r="Q183" s="22">
        <f t="shared" si="8"/>
        <v>6</v>
      </c>
      <c r="S183" s="6" t="str">
        <f t="shared" si="7"/>
        <v>L</v>
      </c>
    </row>
    <row r="184" spans="1:19" ht="13.5" thickBot="1" x14ac:dyDescent="0.25">
      <c r="A184" s="4">
        <f>DATEVALUE(DataIn!A204)</f>
        <v>42913</v>
      </c>
      <c r="B184" s="5" t="str">
        <f>DataIn!B204</f>
        <v>POS 512967XXXXXX4422 ROYAL MART-RICHM POS DEBIT</v>
      </c>
      <c r="C184" s="5" t="str">
        <f>DataIn!C204</f>
        <v>0000000000113100</v>
      </c>
      <c r="D184" s="5" t="str">
        <f>DataIn!D204</f>
        <v>27/06/17</v>
      </c>
      <c r="E184" s="5">
        <f>DataIn!E204</f>
        <v>278</v>
      </c>
      <c r="F184" s="5">
        <f>DataIn!F204</f>
        <v>0</v>
      </c>
      <c r="G184" s="5">
        <f>DataIn!G204</f>
        <v>98110.67</v>
      </c>
      <c r="H184" s="6" t="b">
        <f>SUMPRODUCT(--ISNUMBER(SEARCH(CategoriesConfig!B$3:B$12,$B184)))&gt;0</f>
        <v>0</v>
      </c>
      <c r="I184" s="6" t="b">
        <f>SUMPRODUCT(--ISNUMBER(SEARCH(CategoriesConfig!C$3:C$12,$B184)))&gt;0</f>
        <v>0</v>
      </c>
      <c r="J184" s="6" t="b">
        <f>SUMPRODUCT(--ISNUMBER(SEARCH(CategoriesConfig!D$3:D$12,$B184)))&gt;0</f>
        <v>0</v>
      </c>
      <c r="K184" s="6" t="b">
        <f>SUMPRODUCT(--ISNUMBER(SEARCH(CategoriesConfig!E$3:E$12,$B184)))&gt;0</f>
        <v>0</v>
      </c>
      <c r="L184" s="6" t="b">
        <f>SUMPRODUCT(--ISNUMBER(SEARCH(CategoriesConfig!F$3:F$12,$B184)))&gt;0</f>
        <v>0</v>
      </c>
      <c r="M184" s="6" t="b">
        <f>SUMPRODUCT(--ISNUMBER(SEARCH(CategoriesConfig!G$3:G$12,$B184)))&gt;0</f>
        <v>1</v>
      </c>
      <c r="N184" s="6" t="b">
        <f>SUMPRODUCT(--ISNUMBER(SEARCH(CategoriesConfig!H$3:H$12,$B184)))&gt;0</f>
        <v>0</v>
      </c>
      <c r="O184" s="6" t="b">
        <f>SUMPRODUCT(--ISNUMBER(SEARCH(CategoriesConfig!I$3:I$12,$B184)))&gt;0</f>
        <v>0</v>
      </c>
      <c r="P184" s="22" t="b">
        <f t="shared" si="9"/>
        <v>0</v>
      </c>
      <c r="Q184" s="22">
        <f t="shared" si="8"/>
        <v>6</v>
      </c>
      <c r="S184" s="6" t="str">
        <f t="shared" si="7"/>
        <v>M</v>
      </c>
    </row>
    <row r="185" spans="1:19" ht="13.5" thickBot="1" x14ac:dyDescent="0.25">
      <c r="A185" s="4">
        <f>DATEVALUE(DataIn!A205)</f>
        <v>42914</v>
      </c>
      <c r="B185" s="5" t="str">
        <f>DataIn!B205</f>
        <v>POS 512967XXXXXX4422 ZES*UBER INDIA S POS DEBIT</v>
      </c>
      <c r="C185" s="5" t="str">
        <f>DataIn!C205</f>
        <v>0000717960046419</v>
      </c>
      <c r="D185" s="5" t="str">
        <f>DataIn!D205</f>
        <v>28/06/17</v>
      </c>
      <c r="E185" s="5">
        <f>DataIn!E205</f>
        <v>86.01</v>
      </c>
      <c r="F185" s="5">
        <f>DataIn!F205</f>
        <v>0</v>
      </c>
      <c r="G185" s="5">
        <f>DataIn!G205</f>
        <v>98024.66</v>
      </c>
      <c r="H185" s="6" t="b">
        <f>SUMPRODUCT(--ISNUMBER(SEARCH(CategoriesConfig!B$3:B$12,$B185)))&gt;0</f>
        <v>0</v>
      </c>
      <c r="I185" s="6" t="b">
        <f>SUMPRODUCT(--ISNUMBER(SEARCH(CategoriesConfig!C$3:C$12,$B185)))&gt;0</f>
        <v>1</v>
      </c>
      <c r="J185" s="6" t="b">
        <f>SUMPRODUCT(--ISNUMBER(SEARCH(CategoriesConfig!D$3:D$12,$B185)))&gt;0</f>
        <v>0</v>
      </c>
      <c r="K185" s="6" t="b">
        <f>SUMPRODUCT(--ISNUMBER(SEARCH(CategoriesConfig!E$3:E$12,$B185)))&gt;0</f>
        <v>0</v>
      </c>
      <c r="L185" s="6" t="b">
        <f>SUMPRODUCT(--ISNUMBER(SEARCH(CategoriesConfig!F$3:F$12,$B185)))&gt;0</f>
        <v>0</v>
      </c>
      <c r="M185" s="6" t="b">
        <f>SUMPRODUCT(--ISNUMBER(SEARCH(CategoriesConfig!G$3:G$12,$B185)))&gt;0</f>
        <v>0</v>
      </c>
      <c r="N185" s="6" t="b">
        <f>SUMPRODUCT(--ISNUMBER(SEARCH(CategoriesConfig!H$3:H$12,$B185)))&gt;0</f>
        <v>0</v>
      </c>
      <c r="O185" s="6" t="b">
        <f>SUMPRODUCT(--ISNUMBER(SEARCH(CategoriesConfig!I$3:I$12,$B185)))&gt;0</f>
        <v>0</v>
      </c>
      <c r="P185" s="22" t="b">
        <f t="shared" si="9"/>
        <v>0</v>
      </c>
      <c r="Q185" s="22">
        <f t="shared" si="8"/>
        <v>6</v>
      </c>
      <c r="S185" s="6" t="str">
        <f t="shared" si="7"/>
        <v>U</v>
      </c>
    </row>
    <row r="186" spans="1:19" ht="13.5" thickBot="1" x14ac:dyDescent="0.25">
      <c r="A186" s="4">
        <f>DATEVALUE(DataIn!A206)</f>
        <v>42914</v>
      </c>
      <c r="B186" s="5" t="str">
        <f>DataIn!B206</f>
        <v>POS 512967XXXXXX4422 CELEBRATIONS, POS DEBIT</v>
      </c>
      <c r="C186" s="5" t="str">
        <f>DataIn!C206</f>
        <v>0000000000017133</v>
      </c>
      <c r="D186" s="5" t="str">
        <f>DataIn!D206</f>
        <v>28/06/17</v>
      </c>
      <c r="E186" s="5">
        <f>DataIn!E206</f>
        <v>75</v>
      </c>
      <c r="F186" s="5">
        <f>DataIn!F206</f>
        <v>0</v>
      </c>
      <c r="G186" s="5">
        <f>DataIn!G206</f>
        <v>97949.66</v>
      </c>
      <c r="H186" s="6" t="b">
        <f>SUMPRODUCT(--ISNUMBER(SEARCH(CategoriesConfig!B$3:B$12,$B186)))&gt;0</f>
        <v>0</v>
      </c>
      <c r="I186" s="6" t="b">
        <f>SUMPRODUCT(--ISNUMBER(SEARCH(CategoriesConfig!C$3:C$12,$B186)))&gt;0</f>
        <v>0</v>
      </c>
      <c r="J186" s="6" t="b">
        <f>SUMPRODUCT(--ISNUMBER(SEARCH(CategoriesConfig!D$3:D$12,$B186)))&gt;0</f>
        <v>1</v>
      </c>
      <c r="K186" s="6" t="b">
        <f>SUMPRODUCT(--ISNUMBER(SEARCH(CategoriesConfig!E$3:E$12,$B186)))&gt;0</f>
        <v>0</v>
      </c>
      <c r="L186" s="6" t="b">
        <f>SUMPRODUCT(--ISNUMBER(SEARCH(CategoriesConfig!F$3:F$12,$B186)))&gt;0</f>
        <v>0</v>
      </c>
      <c r="M186" s="6" t="b">
        <f>SUMPRODUCT(--ISNUMBER(SEARCH(CategoriesConfig!G$3:G$12,$B186)))&gt;0</f>
        <v>0</v>
      </c>
      <c r="N186" s="6" t="b">
        <f>SUMPRODUCT(--ISNUMBER(SEARCH(CategoriesConfig!H$3:H$12,$B186)))&gt;0</f>
        <v>0</v>
      </c>
      <c r="O186" s="6" t="b">
        <f>SUMPRODUCT(--ISNUMBER(SEARCH(CategoriesConfig!I$3:I$12,$B186)))&gt;0</f>
        <v>0</v>
      </c>
      <c r="P186" s="22" t="b">
        <f t="shared" si="9"/>
        <v>0</v>
      </c>
      <c r="Q186" s="22">
        <f t="shared" si="8"/>
        <v>6</v>
      </c>
      <c r="S186" s="6" t="str">
        <f t="shared" si="7"/>
        <v>L</v>
      </c>
    </row>
    <row r="187" spans="1:19" ht="13.5" thickBot="1" x14ac:dyDescent="0.25">
      <c r="A187" s="4">
        <f>DATEVALUE(DataIn!A207)</f>
        <v>42915</v>
      </c>
      <c r="B187" s="5" t="str">
        <f>DataIn!B207</f>
        <v>DC INTL POS TXN MARKUP+ST 160617 190617</v>
      </c>
      <c r="C187" s="5" t="str">
        <f>DataIn!C207</f>
        <v>000000000000000</v>
      </c>
      <c r="D187" s="5" t="str">
        <f>DataIn!D207</f>
        <v>29/06/17</v>
      </c>
      <c r="E187" s="5">
        <f>DataIn!E207</f>
        <v>2024.32</v>
      </c>
      <c r="F187" s="5">
        <f>DataIn!F207</f>
        <v>0</v>
      </c>
      <c r="G187" s="5">
        <f>DataIn!G207</f>
        <v>95925.34</v>
      </c>
      <c r="H187" s="6" t="b">
        <f>SUMPRODUCT(--ISNUMBER(SEARCH(CategoriesConfig!B$3:B$12,$B187)))&gt;0</f>
        <v>0</v>
      </c>
      <c r="I187" s="6" t="b">
        <f>SUMPRODUCT(--ISNUMBER(SEARCH(CategoriesConfig!C$3:C$12,$B187)))&gt;0</f>
        <v>0</v>
      </c>
      <c r="J187" s="6" t="b">
        <f>SUMPRODUCT(--ISNUMBER(SEARCH(CategoriesConfig!D$3:D$12,$B187)))&gt;0</f>
        <v>0</v>
      </c>
      <c r="K187" s="6" t="b">
        <f>SUMPRODUCT(--ISNUMBER(SEARCH(CategoriesConfig!E$3:E$12,$B187)))&gt;0</f>
        <v>0</v>
      </c>
      <c r="L187" s="6" t="b">
        <f>SUMPRODUCT(--ISNUMBER(SEARCH(CategoriesConfig!F$3:F$12,$B187)))&gt;0</f>
        <v>0</v>
      </c>
      <c r="M187" s="6" t="b">
        <f>SUMPRODUCT(--ISNUMBER(SEARCH(CategoriesConfig!G$3:G$12,$B187)))&gt;0</f>
        <v>0</v>
      </c>
      <c r="N187" s="6" t="b">
        <f>SUMPRODUCT(--ISNUMBER(SEARCH(CategoriesConfig!H$3:H$12,$B187)))&gt;0</f>
        <v>0</v>
      </c>
      <c r="O187" s="6" t="b">
        <f>SUMPRODUCT(--ISNUMBER(SEARCH(CategoriesConfig!I$3:I$12,$B187)))&gt;0</f>
        <v>0</v>
      </c>
      <c r="P187" s="22" t="b">
        <f t="shared" si="9"/>
        <v>1</v>
      </c>
      <c r="Q187" s="22">
        <f t="shared" si="8"/>
        <v>6</v>
      </c>
      <c r="R187" s="2" t="s">
        <v>220</v>
      </c>
      <c r="S187" s="6" t="str">
        <f t="shared" si="7"/>
        <v>S</v>
      </c>
    </row>
    <row r="188" spans="1:19" ht="13.5" thickBot="1" x14ac:dyDescent="0.25">
      <c r="A188" s="4">
        <f>DATEVALUE(DataIn!A208)</f>
        <v>42915</v>
      </c>
      <c r="B188" s="5" t="str">
        <f>DataIn!B208</f>
        <v>ATW-512967XXXXXX4422-S1AWHP18-BANGALORE-URB</v>
      </c>
      <c r="C188" s="5" t="str">
        <f>DataIn!C208</f>
        <v>0000000000000927</v>
      </c>
      <c r="D188" s="5" t="str">
        <f>DataIn!D208</f>
        <v>29/06/17</v>
      </c>
      <c r="E188" s="5">
        <f>DataIn!E208</f>
        <v>3000</v>
      </c>
      <c r="F188" s="5">
        <f>DataIn!F208</f>
        <v>0</v>
      </c>
      <c r="G188" s="5">
        <f>DataIn!G208</f>
        <v>92925.34</v>
      </c>
      <c r="H188" s="6" t="b">
        <f>SUMPRODUCT(--ISNUMBER(SEARCH(CategoriesConfig!B$3:B$12,$B188)))&gt;0</f>
        <v>0</v>
      </c>
      <c r="I188" s="6" t="b">
        <f>SUMPRODUCT(--ISNUMBER(SEARCH(CategoriesConfig!C$3:C$12,$B188)))&gt;0</f>
        <v>0</v>
      </c>
      <c r="J188" s="6" t="b">
        <f>SUMPRODUCT(--ISNUMBER(SEARCH(CategoriesConfig!D$3:D$12,$B188)))&gt;0</f>
        <v>0</v>
      </c>
      <c r="K188" s="6" t="b">
        <f>SUMPRODUCT(--ISNUMBER(SEARCH(CategoriesConfig!E$3:E$12,$B188)))&gt;0</f>
        <v>0</v>
      </c>
      <c r="L188" s="6" t="b">
        <f>SUMPRODUCT(--ISNUMBER(SEARCH(CategoriesConfig!F$3:F$12,$B188)))&gt;0</f>
        <v>0</v>
      </c>
      <c r="M188" s="6" t="b">
        <f>SUMPRODUCT(--ISNUMBER(SEARCH(CategoriesConfig!G$3:G$12,$B188)))&gt;0</f>
        <v>0</v>
      </c>
      <c r="N188" s="6" t="b">
        <f>SUMPRODUCT(--ISNUMBER(SEARCH(CategoriesConfig!H$3:H$12,$B188)))&gt;0</f>
        <v>1</v>
      </c>
      <c r="O188" s="6" t="b">
        <f>SUMPRODUCT(--ISNUMBER(SEARCH(CategoriesConfig!I$3:I$12,$B188)))&gt;0</f>
        <v>0</v>
      </c>
      <c r="P188" s="22" t="b">
        <f t="shared" si="9"/>
        <v>0</v>
      </c>
      <c r="Q188" s="22">
        <f t="shared" si="8"/>
        <v>6</v>
      </c>
      <c r="R188" s="2"/>
      <c r="S188" s="6" t="str">
        <f t="shared" si="7"/>
        <v>C</v>
      </c>
    </row>
    <row r="189" spans="1:19" ht="13.5" thickBot="1" x14ac:dyDescent="0.25">
      <c r="A189" s="4">
        <f>DATEVALUE(DataIn!A209)</f>
        <v>42915</v>
      </c>
      <c r="B189" s="5" t="str">
        <f>DataIn!B209</f>
        <v>POS 512967XXXXXX4422 CELEBRATIONS, POS DEBIT</v>
      </c>
      <c r="C189" s="5" t="str">
        <f>DataIn!C209</f>
        <v>0000000000000812</v>
      </c>
      <c r="D189" s="5" t="str">
        <f>DataIn!D209</f>
        <v>29/06/17</v>
      </c>
      <c r="E189" s="5">
        <f>DataIn!E209</f>
        <v>75</v>
      </c>
      <c r="F189" s="5">
        <f>DataIn!F209</f>
        <v>0</v>
      </c>
      <c r="G189" s="5">
        <f>DataIn!G209</f>
        <v>92850.34</v>
      </c>
      <c r="H189" s="6" t="b">
        <f>SUMPRODUCT(--ISNUMBER(SEARCH(CategoriesConfig!B$3:B$12,$B189)))&gt;0</f>
        <v>0</v>
      </c>
      <c r="I189" s="6" t="b">
        <f>SUMPRODUCT(--ISNUMBER(SEARCH(CategoriesConfig!C$3:C$12,$B189)))&gt;0</f>
        <v>0</v>
      </c>
      <c r="J189" s="6" t="b">
        <f>SUMPRODUCT(--ISNUMBER(SEARCH(CategoriesConfig!D$3:D$12,$B189)))&gt;0</f>
        <v>1</v>
      </c>
      <c r="K189" s="6" t="b">
        <f>SUMPRODUCT(--ISNUMBER(SEARCH(CategoriesConfig!E$3:E$12,$B189)))&gt;0</f>
        <v>0</v>
      </c>
      <c r="L189" s="6" t="b">
        <f>SUMPRODUCT(--ISNUMBER(SEARCH(CategoriesConfig!F$3:F$12,$B189)))&gt;0</f>
        <v>0</v>
      </c>
      <c r="M189" s="6" t="b">
        <f>SUMPRODUCT(--ISNUMBER(SEARCH(CategoriesConfig!G$3:G$12,$B189)))&gt;0</f>
        <v>0</v>
      </c>
      <c r="N189" s="6" t="b">
        <f>SUMPRODUCT(--ISNUMBER(SEARCH(CategoriesConfig!H$3:H$12,$B189)))&gt;0</f>
        <v>0</v>
      </c>
      <c r="O189" s="6" t="b">
        <f>SUMPRODUCT(--ISNUMBER(SEARCH(CategoriesConfig!I$3:I$12,$B189)))&gt;0</f>
        <v>0</v>
      </c>
      <c r="P189" s="22" t="b">
        <f t="shared" si="9"/>
        <v>0</v>
      </c>
      <c r="Q189" s="22">
        <f t="shared" si="8"/>
        <v>6</v>
      </c>
      <c r="S189" s="6" t="str">
        <f t="shared" si="7"/>
        <v>L</v>
      </c>
    </row>
    <row r="190" spans="1:19" ht="13.5" thickBot="1" x14ac:dyDescent="0.25">
      <c r="A190" s="4">
        <f>DATEVALUE(DataIn!A210)</f>
        <v>42915</v>
      </c>
      <c r="B190" s="5" t="str">
        <f>DataIn!B210</f>
        <v>POS 512967XXXXXX4422 CARROT HEALTH AN POS DEBIT</v>
      </c>
      <c r="C190" s="5" t="str">
        <f>DataIn!C210</f>
        <v>0000000000003179</v>
      </c>
      <c r="D190" s="5" t="str">
        <f>DataIn!D210</f>
        <v>29/06/17</v>
      </c>
      <c r="E190" s="5">
        <f>DataIn!E210</f>
        <v>5750</v>
      </c>
      <c r="F190" s="5">
        <f>DataIn!F210</f>
        <v>0</v>
      </c>
      <c r="G190" s="5">
        <f>DataIn!G210</f>
        <v>87100.34</v>
      </c>
      <c r="H190" s="6" t="b">
        <f>SUMPRODUCT(--ISNUMBER(SEARCH(CategoriesConfig!B$3:B$12,$B190)))&gt;0</f>
        <v>0</v>
      </c>
      <c r="I190" s="6" t="b">
        <f>SUMPRODUCT(--ISNUMBER(SEARCH(CategoriesConfig!C$3:C$12,$B190)))&gt;0</f>
        <v>0</v>
      </c>
      <c r="J190" s="6" t="b">
        <f>SUMPRODUCT(--ISNUMBER(SEARCH(CategoriesConfig!D$3:D$12,$B190)))&gt;0</f>
        <v>0</v>
      </c>
      <c r="K190" s="6" t="b">
        <f>SUMPRODUCT(--ISNUMBER(SEARCH(CategoriesConfig!E$3:E$12,$B190)))&gt;0</f>
        <v>0</v>
      </c>
      <c r="L190" s="6" t="b">
        <f>SUMPRODUCT(--ISNUMBER(SEARCH(CategoriesConfig!F$3:F$12,$B190)))&gt;0</f>
        <v>0</v>
      </c>
      <c r="M190" s="6" t="b">
        <f>SUMPRODUCT(--ISNUMBER(SEARCH(CategoriesConfig!G$3:G$12,$B190)))&gt;0</f>
        <v>0</v>
      </c>
      <c r="N190" s="6" t="b">
        <f>SUMPRODUCT(--ISNUMBER(SEARCH(CategoriesConfig!H$3:H$12,$B190)))&gt;0</f>
        <v>0</v>
      </c>
      <c r="O190" s="6" t="b">
        <f>SUMPRODUCT(--ISNUMBER(SEARCH(CategoriesConfig!I$3:I$12,$B190)))&gt;0</f>
        <v>0</v>
      </c>
      <c r="P190" s="22" t="b">
        <f t="shared" si="9"/>
        <v>1</v>
      </c>
      <c r="Q190" s="22">
        <f t="shared" si="8"/>
        <v>6</v>
      </c>
      <c r="R190" s="2" t="s">
        <v>220</v>
      </c>
      <c r="S190" s="6" t="str">
        <f t="shared" si="7"/>
        <v>S</v>
      </c>
    </row>
    <row r="191" spans="1:19" ht="13.5" thickBot="1" x14ac:dyDescent="0.25">
      <c r="A191" s="4">
        <f>DATEVALUE(DataIn!A211)</f>
        <v>42916</v>
      </c>
      <c r="B191" s="5" t="str">
        <f>DataIn!B211</f>
        <v>POS 512967XXXXXX4422 ZES*UBER INDIA S POS DEBIT</v>
      </c>
      <c r="C191" s="5" t="str">
        <f>DataIn!C211</f>
        <v>0000718160062089</v>
      </c>
      <c r="D191" s="5" t="str">
        <f>DataIn!D211</f>
        <v>30/06/17</v>
      </c>
      <c r="E191" s="5">
        <f>DataIn!E211</f>
        <v>176.99</v>
      </c>
      <c r="F191" s="5">
        <f>DataIn!F211</f>
        <v>0</v>
      </c>
      <c r="G191" s="5">
        <f>DataIn!G211</f>
        <v>86923.35</v>
      </c>
      <c r="H191" s="6" t="b">
        <f>SUMPRODUCT(--ISNUMBER(SEARCH(CategoriesConfig!B$3:B$12,$B191)))&gt;0</f>
        <v>0</v>
      </c>
      <c r="I191" s="6" t="b">
        <f>SUMPRODUCT(--ISNUMBER(SEARCH(CategoriesConfig!C$3:C$12,$B191)))&gt;0</f>
        <v>1</v>
      </c>
      <c r="J191" s="6" t="b">
        <f>SUMPRODUCT(--ISNUMBER(SEARCH(CategoriesConfig!D$3:D$12,$B191)))&gt;0</f>
        <v>0</v>
      </c>
      <c r="K191" s="6" t="b">
        <f>SUMPRODUCT(--ISNUMBER(SEARCH(CategoriesConfig!E$3:E$12,$B191)))&gt;0</f>
        <v>0</v>
      </c>
      <c r="L191" s="6" t="b">
        <f>SUMPRODUCT(--ISNUMBER(SEARCH(CategoriesConfig!F$3:F$12,$B191)))&gt;0</f>
        <v>0</v>
      </c>
      <c r="M191" s="6" t="b">
        <f>SUMPRODUCT(--ISNUMBER(SEARCH(CategoriesConfig!G$3:G$12,$B191)))&gt;0</f>
        <v>0</v>
      </c>
      <c r="N191" s="6" t="b">
        <f>SUMPRODUCT(--ISNUMBER(SEARCH(CategoriesConfig!H$3:H$12,$B191)))&gt;0</f>
        <v>0</v>
      </c>
      <c r="O191" s="6" t="b">
        <f>SUMPRODUCT(--ISNUMBER(SEARCH(CategoriesConfig!I$3:I$12,$B191)))&gt;0</f>
        <v>0</v>
      </c>
      <c r="P191" s="22" t="b">
        <f t="shared" si="9"/>
        <v>0</v>
      </c>
      <c r="Q191" s="22">
        <f t="shared" si="8"/>
        <v>6</v>
      </c>
      <c r="S191" s="6" t="str">
        <f t="shared" si="7"/>
        <v>U</v>
      </c>
    </row>
    <row r="192" spans="1:19" ht="13.5" thickBot="1" x14ac:dyDescent="0.25">
      <c r="A192" s="4">
        <f>DATEVALUE(DataIn!A212)</f>
        <v>42916</v>
      </c>
      <c r="B192" s="5" t="str">
        <f>DataIn!B212</f>
        <v>POS 512967XXXXXX4422 CELEBRATIONS, POS DEBIT</v>
      </c>
      <c r="C192" s="5" t="str">
        <f>DataIn!C212</f>
        <v>0000000000017813</v>
      </c>
      <c r="D192" s="5" t="str">
        <f>DataIn!D212</f>
        <v>30/06/17</v>
      </c>
      <c r="E192" s="5">
        <f>DataIn!E212</f>
        <v>75</v>
      </c>
      <c r="F192" s="5">
        <f>DataIn!F212</f>
        <v>0</v>
      </c>
      <c r="G192" s="5">
        <f>DataIn!G212</f>
        <v>86848.35</v>
      </c>
      <c r="H192" s="6" t="b">
        <f>SUMPRODUCT(--ISNUMBER(SEARCH(CategoriesConfig!B$3:B$12,$B192)))&gt;0</f>
        <v>0</v>
      </c>
      <c r="I192" s="6" t="b">
        <f>SUMPRODUCT(--ISNUMBER(SEARCH(CategoriesConfig!C$3:C$12,$B192)))&gt;0</f>
        <v>0</v>
      </c>
      <c r="J192" s="6" t="b">
        <f>SUMPRODUCT(--ISNUMBER(SEARCH(CategoriesConfig!D$3:D$12,$B192)))&gt;0</f>
        <v>1</v>
      </c>
      <c r="K192" s="6" t="b">
        <f>SUMPRODUCT(--ISNUMBER(SEARCH(CategoriesConfig!E$3:E$12,$B192)))&gt;0</f>
        <v>0</v>
      </c>
      <c r="L192" s="6" t="b">
        <f>SUMPRODUCT(--ISNUMBER(SEARCH(CategoriesConfig!F$3:F$12,$B192)))&gt;0</f>
        <v>0</v>
      </c>
      <c r="M192" s="6" t="b">
        <f>SUMPRODUCT(--ISNUMBER(SEARCH(CategoriesConfig!G$3:G$12,$B192)))&gt;0</f>
        <v>0</v>
      </c>
      <c r="N192" s="6" t="b">
        <f>SUMPRODUCT(--ISNUMBER(SEARCH(CategoriesConfig!H$3:H$12,$B192)))&gt;0</f>
        <v>0</v>
      </c>
      <c r="O192" s="6" t="b">
        <f>SUMPRODUCT(--ISNUMBER(SEARCH(CategoriesConfig!I$3:I$12,$B192)))&gt;0</f>
        <v>0</v>
      </c>
      <c r="P192" s="22" t="b">
        <f t="shared" si="9"/>
        <v>0</v>
      </c>
      <c r="Q192" s="22">
        <f t="shared" si="8"/>
        <v>6</v>
      </c>
      <c r="S192" s="6" t="str">
        <f t="shared" si="7"/>
        <v>L</v>
      </c>
    </row>
    <row r="193" spans="1:19" ht="13.5" thickBot="1" x14ac:dyDescent="0.25">
      <c r="A193" s="4">
        <f>DATEVALUE(DataIn!A213)</f>
        <v>42916</v>
      </c>
      <c r="B193" s="5" t="str">
        <f>DataIn!B213</f>
        <v>POS 512967XXXXXX4422 THE PERMIT ROOM POS DEBIT</v>
      </c>
      <c r="C193" s="5" t="str">
        <f>DataIn!C213</f>
        <v>0000000000009593</v>
      </c>
      <c r="D193" s="5" t="str">
        <f>DataIn!D213</f>
        <v>01/07/17</v>
      </c>
      <c r="E193" s="5">
        <f>DataIn!E213</f>
        <v>1144</v>
      </c>
      <c r="F193" s="5">
        <f>DataIn!F213</f>
        <v>0</v>
      </c>
      <c r="G193" s="5">
        <f>DataIn!G213</f>
        <v>85704.35</v>
      </c>
      <c r="H193" s="6" t="b">
        <f>SUMPRODUCT(--ISNUMBER(SEARCH(CategoriesConfig!B$3:B$12,$B193)))&gt;0</f>
        <v>0</v>
      </c>
      <c r="I193" s="6" t="b">
        <f>SUMPRODUCT(--ISNUMBER(SEARCH(CategoriesConfig!C$3:C$12,$B193)))&gt;0</f>
        <v>0</v>
      </c>
      <c r="J193" s="6" t="b">
        <f>SUMPRODUCT(--ISNUMBER(SEARCH(CategoriesConfig!D$3:D$12,$B193)))&gt;0</f>
        <v>0</v>
      </c>
      <c r="K193" s="6" t="b">
        <f>SUMPRODUCT(--ISNUMBER(SEARCH(CategoriesConfig!E$3:E$12,$B193)))&gt;0</f>
        <v>0</v>
      </c>
      <c r="L193" s="6" t="b">
        <f>SUMPRODUCT(--ISNUMBER(SEARCH(CategoriesConfig!F$3:F$12,$B193)))&gt;0</f>
        <v>0</v>
      </c>
      <c r="M193" s="6" t="b">
        <f>SUMPRODUCT(--ISNUMBER(SEARCH(CategoriesConfig!G$3:G$12,$B193)))&gt;0</f>
        <v>0</v>
      </c>
      <c r="N193" s="6" t="b">
        <f>SUMPRODUCT(--ISNUMBER(SEARCH(CategoriesConfig!H$3:H$12,$B193)))&gt;0</f>
        <v>0</v>
      </c>
      <c r="O193" s="6" t="b">
        <f>SUMPRODUCT(--ISNUMBER(SEARCH(CategoriesConfig!I$3:I$12,$B193)))&gt;0</f>
        <v>0</v>
      </c>
      <c r="P193" s="22" t="b">
        <f t="shared" si="9"/>
        <v>1</v>
      </c>
      <c r="Q193" s="22">
        <f t="shared" si="8"/>
        <v>6</v>
      </c>
      <c r="R193" s="2" t="s">
        <v>221</v>
      </c>
      <c r="S193" s="6" t="str">
        <f t="shared" si="7"/>
        <v>F</v>
      </c>
    </row>
    <row r="194" spans="1:19" ht="13.5" thickBot="1" x14ac:dyDescent="0.25">
      <c r="A194" s="4">
        <f>DATEVALUE(DataIn!A214)</f>
        <v>42917</v>
      </c>
      <c r="B194" s="5" t="str">
        <f>DataIn!B214</f>
        <v>CREDIT INTEREST CAPITALISED</v>
      </c>
      <c r="C194" s="5" t="str">
        <f>DataIn!C214</f>
        <v>000000000000000</v>
      </c>
      <c r="D194" s="5" t="str">
        <f>DataIn!D214</f>
        <v>30/06/17</v>
      </c>
      <c r="E194" s="5">
        <f>DataIn!E214</f>
        <v>0</v>
      </c>
      <c r="F194" s="5">
        <f>DataIn!F214</f>
        <v>1007</v>
      </c>
      <c r="G194" s="5">
        <f>DataIn!G214</f>
        <v>86711.35</v>
      </c>
      <c r="H194" s="6" t="b">
        <f>SUMPRODUCT(--ISNUMBER(SEARCH(CategoriesConfig!B$3:B$12,$B194)))&gt;0</f>
        <v>1</v>
      </c>
      <c r="I194" s="6" t="b">
        <f>SUMPRODUCT(--ISNUMBER(SEARCH(CategoriesConfig!C$3:C$12,$B194)))&gt;0</f>
        <v>0</v>
      </c>
      <c r="J194" s="6" t="b">
        <f>SUMPRODUCT(--ISNUMBER(SEARCH(CategoriesConfig!D$3:D$12,$B194)))&gt;0</f>
        <v>0</v>
      </c>
      <c r="K194" s="6" t="b">
        <f>SUMPRODUCT(--ISNUMBER(SEARCH(CategoriesConfig!E$3:E$12,$B194)))&gt;0</f>
        <v>0</v>
      </c>
      <c r="L194" s="6" t="b">
        <f>SUMPRODUCT(--ISNUMBER(SEARCH(CategoriesConfig!F$3:F$12,$B194)))&gt;0</f>
        <v>0</v>
      </c>
      <c r="M194" s="6" t="b">
        <f>SUMPRODUCT(--ISNUMBER(SEARCH(CategoriesConfig!G$3:G$12,$B194)))&gt;0</f>
        <v>0</v>
      </c>
      <c r="N194" s="6" t="b">
        <f>SUMPRODUCT(--ISNUMBER(SEARCH(CategoriesConfig!H$3:H$12,$B194)))&gt;0</f>
        <v>0</v>
      </c>
      <c r="O194" s="6" t="b">
        <f>SUMPRODUCT(--ISNUMBER(SEARCH(CategoriesConfig!I$3:I$12,$B194)))&gt;0</f>
        <v>0</v>
      </c>
      <c r="P194" s="22" t="b">
        <f t="shared" si="9"/>
        <v>0</v>
      </c>
      <c r="Q194" s="22">
        <f t="shared" si="8"/>
        <v>7</v>
      </c>
      <c r="S194" s="6" t="str">
        <f t="shared" si="7"/>
        <v>I</v>
      </c>
    </row>
    <row r="195" spans="1:19" ht="13.5" thickBot="1" x14ac:dyDescent="0.25">
      <c r="A195" s="4">
        <f>DATEVALUE(DataIn!A215)</f>
        <v>42917</v>
      </c>
      <c r="B195" s="5" t="str">
        <f>DataIn!B215</f>
        <v>POS 512967XXXXXX4422 CELEBRATIONS, POS DEBIT</v>
      </c>
      <c r="C195" s="5" t="str">
        <f>DataIn!C215</f>
        <v>0000000000017917</v>
      </c>
      <c r="D195" s="5" t="str">
        <f>DataIn!D215</f>
        <v>01/07/17</v>
      </c>
      <c r="E195" s="5">
        <f>DataIn!E215</f>
        <v>94</v>
      </c>
      <c r="F195" s="5">
        <f>DataIn!F215</f>
        <v>0</v>
      </c>
      <c r="G195" s="5">
        <f>DataIn!G215</f>
        <v>86617.35</v>
      </c>
      <c r="H195" s="6" t="b">
        <f>SUMPRODUCT(--ISNUMBER(SEARCH(CategoriesConfig!B$3:B$12,$B195)))&gt;0</f>
        <v>0</v>
      </c>
      <c r="I195" s="6" t="b">
        <f>SUMPRODUCT(--ISNUMBER(SEARCH(CategoriesConfig!C$3:C$12,$B195)))&gt;0</f>
        <v>0</v>
      </c>
      <c r="J195" s="6" t="b">
        <f>SUMPRODUCT(--ISNUMBER(SEARCH(CategoriesConfig!D$3:D$12,$B195)))&gt;0</f>
        <v>1</v>
      </c>
      <c r="K195" s="6" t="b">
        <f>SUMPRODUCT(--ISNUMBER(SEARCH(CategoriesConfig!E$3:E$12,$B195)))&gt;0</f>
        <v>0</v>
      </c>
      <c r="L195" s="6" t="b">
        <f>SUMPRODUCT(--ISNUMBER(SEARCH(CategoriesConfig!F$3:F$12,$B195)))&gt;0</f>
        <v>0</v>
      </c>
      <c r="M195" s="6" t="b">
        <f>SUMPRODUCT(--ISNUMBER(SEARCH(CategoriesConfig!G$3:G$12,$B195)))&gt;0</f>
        <v>0</v>
      </c>
      <c r="N195" s="6" t="b">
        <f>SUMPRODUCT(--ISNUMBER(SEARCH(CategoriesConfig!H$3:H$12,$B195)))&gt;0</f>
        <v>0</v>
      </c>
      <c r="O195" s="6" t="b">
        <f>SUMPRODUCT(--ISNUMBER(SEARCH(CategoriesConfig!I$3:I$12,$B195)))&gt;0</f>
        <v>0</v>
      </c>
      <c r="P195" s="22" t="b">
        <f t="shared" si="9"/>
        <v>0</v>
      </c>
      <c r="Q195" s="22">
        <f t="shared" si="8"/>
        <v>7</v>
      </c>
      <c r="S195" s="6" t="str">
        <f t="shared" ref="S195:S258" si="10">IF(ISBLANK(R195),INDEX(H$2:P$917,1,SUMIF(H195:P195,"TRUE",H$1:P$1)),R195)</f>
        <v>L</v>
      </c>
    </row>
    <row r="196" spans="1:19" ht="13.5" thickBot="1" x14ac:dyDescent="0.25">
      <c r="A196" s="4">
        <f>DATEVALUE(DataIn!A216)</f>
        <v>42917</v>
      </c>
      <c r="B196" s="5" t="str">
        <f>DataIn!B216</f>
        <v>POS 512967XXXXXX4422 CAFE COFFEE DAY POS DEBIT</v>
      </c>
      <c r="C196" s="5" t="str">
        <f>DataIn!C216</f>
        <v>0000000000290855</v>
      </c>
      <c r="D196" s="5" t="str">
        <f>DataIn!D216</f>
        <v>01/07/17</v>
      </c>
      <c r="E196" s="5">
        <f>DataIn!E216</f>
        <v>137</v>
      </c>
      <c r="F196" s="5">
        <f>DataIn!F216</f>
        <v>0</v>
      </c>
      <c r="G196" s="5">
        <f>DataIn!G216</f>
        <v>86480.35</v>
      </c>
      <c r="H196" s="6" t="b">
        <f>SUMPRODUCT(--ISNUMBER(SEARCH(CategoriesConfig!B$3:B$12,$B196)))&gt;0</f>
        <v>0</v>
      </c>
      <c r="I196" s="6" t="b">
        <f>SUMPRODUCT(--ISNUMBER(SEARCH(CategoriesConfig!C$3:C$12,$B196)))&gt;0</f>
        <v>0</v>
      </c>
      <c r="J196" s="6" t="b">
        <f>SUMPRODUCT(--ISNUMBER(SEARCH(CategoriesConfig!D$3:D$12,$B196)))&gt;0</f>
        <v>0</v>
      </c>
      <c r="K196" s="6" t="b">
        <f>SUMPRODUCT(--ISNUMBER(SEARCH(CategoriesConfig!E$3:E$12,$B196)))&gt;0</f>
        <v>0</v>
      </c>
      <c r="L196" s="6" t="b">
        <f>SUMPRODUCT(--ISNUMBER(SEARCH(CategoriesConfig!F$3:F$12,$B196)))&gt;0</f>
        <v>1</v>
      </c>
      <c r="M196" s="6" t="b">
        <f>SUMPRODUCT(--ISNUMBER(SEARCH(CategoriesConfig!G$3:G$12,$B196)))&gt;0</f>
        <v>0</v>
      </c>
      <c r="N196" s="6" t="b">
        <f>SUMPRODUCT(--ISNUMBER(SEARCH(CategoriesConfig!H$3:H$12,$B196)))&gt;0</f>
        <v>0</v>
      </c>
      <c r="O196" s="6" t="b">
        <f>SUMPRODUCT(--ISNUMBER(SEARCH(CategoriesConfig!I$3:I$12,$B196)))&gt;0</f>
        <v>0</v>
      </c>
      <c r="P196" s="22" t="b">
        <f t="shared" si="9"/>
        <v>0</v>
      </c>
      <c r="Q196" s="22">
        <f t="shared" ref="Q196:Q245" si="11">MONTH(A196)</f>
        <v>7</v>
      </c>
      <c r="S196" s="6" t="str">
        <f t="shared" si="10"/>
        <v>F</v>
      </c>
    </row>
    <row r="197" spans="1:19" ht="13.5" thickBot="1" x14ac:dyDescent="0.25">
      <c r="A197" s="4">
        <f>DATEVALUE(DataIn!A217)</f>
        <v>42917</v>
      </c>
      <c r="B197" s="5" t="str">
        <f>DataIn!B217</f>
        <v>POS 512967XXXXXX4422 ZES*UBER INDIA S POS DEBIT</v>
      </c>
      <c r="C197" s="5" t="str">
        <f>DataIn!C217</f>
        <v>0000718240238279</v>
      </c>
      <c r="D197" s="5" t="str">
        <f>DataIn!D217</f>
        <v>01/07/17</v>
      </c>
      <c r="E197" s="5">
        <f>DataIn!E217</f>
        <v>178.57</v>
      </c>
      <c r="F197" s="5">
        <f>DataIn!F217</f>
        <v>0</v>
      </c>
      <c r="G197" s="5">
        <f>DataIn!G217</f>
        <v>86301.78</v>
      </c>
      <c r="H197" s="6" t="b">
        <f>SUMPRODUCT(--ISNUMBER(SEARCH(CategoriesConfig!B$3:B$12,$B197)))&gt;0</f>
        <v>0</v>
      </c>
      <c r="I197" s="6" t="b">
        <f>SUMPRODUCT(--ISNUMBER(SEARCH(CategoriesConfig!C$3:C$12,$B197)))&gt;0</f>
        <v>1</v>
      </c>
      <c r="J197" s="6" t="b">
        <f>SUMPRODUCT(--ISNUMBER(SEARCH(CategoriesConfig!D$3:D$12,$B197)))&gt;0</f>
        <v>0</v>
      </c>
      <c r="K197" s="6" t="b">
        <f>SUMPRODUCT(--ISNUMBER(SEARCH(CategoriesConfig!E$3:E$12,$B197)))&gt;0</f>
        <v>0</v>
      </c>
      <c r="L197" s="6" t="b">
        <f>SUMPRODUCT(--ISNUMBER(SEARCH(CategoriesConfig!F$3:F$12,$B197)))&gt;0</f>
        <v>0</v>
      </c>
      <c r="M197" s="6" t="b">
        <f>SUMPRODUCT(--ISNUMBER(SEARCH(CategoriesConfig!G$3:G$12,$B197)))&gt;0</f>
        <v>0</v>
      </c>
      <c r="N197" s="6" t="b">
        <f>SUMPRODUCT(--ISNUMBER(SEARCH(CategoriesConfig!H$3:H$12,$B197)))&gt;0</f>
        <v>0</v>
      </c>
      <c r="O197" s="6" t="b">
        <f>SUMPRODUCT(--ISNUMBER(SEARCH(CategoriesConfig!I$3:I$12,$B197)))&gt;0</f>
        <v>0</v>
      </c>
      <c r="P197" s="22" t="b">
        <f t="shared" si="9"/>
        <v>0</v>
      </c>
      <c r="Q197" s="22">
        <f t="shared" si="11"/>
        <v>7</v>
      </c>
      <c r="S197" s="6" t="str">
        <f t="shared" si="10"/>
        <v>U</v>
      </c>
    </row>
    <row r="198" spans="1:19" ht="13.5" thickBot="1" x14ac:dyDescent="0.25">
      <c r="A198" s="4">
        <f>DATEVALUE(DataIn!A218)</f>
        <v>42918</v>
      </c>
      <c r="B198" s="5" t="str">
        <f>DataIn!B218</f>
        <v>POS 512967XXXXXX4422 MONKEY BAR OLIVE POS DEBIT</v>
      </c>
      <c r="C198" s="5" t="str">
        <f>DataIn!C218</f>
        <v>0000000000591573</v>
      </c>
      <c r="D198" s="5" t="str">
        <f>DataIn!D218</f>
        <v>01/07/17</v>
      </c>
      <c r="E198" s="5">
        <f>DataIn!E218</f>
        <v>3500</v>
      </c>
      <c r="F198" s="5">
        <f>DataIn!F218</f>
        <v>0</v>
      </c>
      <c r="G198" s="5">
        <f>DataIn!G218</f>
        <v>82801.78</v>
      </c>
      <c r="H198" s="6" t="b">
        <f>SUMPRODUCT(--ISNUMBER(SEARCH(CategoriesConfig!B$3:B$12,$B198)))&gt;0</f>
        <v>0</v>
      </c>
      <c r="I198" s="6" t="b">
        <f>SUMPRODUCT(--ISNUMBER(SEARCH(CategoriesConfig!C$3:C$12,$B198)))&gt;0</f>
        <v>0</v>
      </c>
      <c r="J198" s="6" t="b">
        <f>SUMPRODUCT(--ISNUMBER(SEARCH(CategoriesConfig!D$3:D$12,$B198)))&gt;0</f>
        <v>0</v>
      </c>
      <c r="K198" s="6" t="b">
        <f>SUMPRODUCT(--ISNUMBER(SEARCH(CategoriesConfig!E$3:E$12,$B198)))&gt;0</f>
        <v>0</v>
      </c>
      <c r="L198" s="6" t="b">
        <f>SUMPRODUCT(--ISNUMBER(SEARCH(CategoriesConfig!F$3:F$12,$B198)))&gt;0</f>
        <v>0</v>
      </c>
      <c r="M198" s="6" t="b">
        <f>SUMPRODUCT(--ISNUMBER(SEARCH(CategoriesConfig!G$3:G$12,$B198)))&gt;0</f>
        <v>0</v>
      </c>
      <c r="N198" s="6" t="b">
        <f>SUMPRODUCT(--ISNUMBER(SEARCH(CategoriesConfig!H$3:H$12,$B198)))&gt;0</f>
        <v>0</v>
      </c>
      <c r="O198" s="6" t="b">
        <f>SUMPRODUCT(--ISNUMBER(SEARCH(CategoriesConfig!I$3:I$12,$B198)))&gt;0</f>
        <v>0</v>
      </c>
      <c r="P198" s="22" t="b">
        <f t="shared" si="9"/>
        <v>1</v>
      </c>
      <c r="Q198" s="22">
        <f t="shared" si="11"/>
        <v>7</v>
      </c>
      <c r="R198" s="2" t="s">
        <v>221</v>
      </c>
      <c r="S198" s="6" t="str">
        <f t="shared" si="10"/>
        <v>F</v>
      </c>
    </row>
    <row r="199" spans="1:19" ht="13.5" thickBot="1" x14ac:dyDescent="0.25">
      <c r="A199" s="4">
        <f>DATEVALUE(DataIn!A219)</f>
        <v>42918</v>
      </c>
      <c r="B199" s="5" t="str">
        <f>DataIn!B219</f>
        <v>POS 512967XXXXXX4422 ZES*UBER INDIA S POS DEBIT</v>
      </c>
      <c r="C199" s="5" t="str">
        <f>DataIn!C219</f>
        <v>0000718360013888</v>
      </c>
      <c r="D199" s="5" t="str">
        <f>DataIn!D219</f>
        <v>02/07/17</v>
      </c>
      <c r="E199" s="5">
        <f>DataIn!E219</f>
        <v>122.46</v>
      </c>
      <c r="F199" s="5">
        <f>DataIn!F219</f>
        <v>0</v>
      </c>
      <c r="G199" s="5">
        <f>DataIn!G219</f>
        <v>82679.320000000007</v>
      </c>
      <c r="H199" s="6" t="b">
        <f>SUMPRODUCT(--ISNUMBER(SEARCH(CategoriesConfig!B$3:B$12,$B199)))&gt;0</f>
        <v>0</v>
      </c>
      <c r="I199" s="6" t="b">
        <f>SUMPRODUCT(--ISNUMBER(SEARCH(CategoriesConfig!C$3:C$12,$B199)))&gt;0</f>
        <v>1</v>
      </c>
      <c r="J199" s="6" t="b">
        <f>SUMPRODUCT(--ISNUMBER(SEARCH(CategoriesConfig!D$3:D$12,$B199)))&gt;0</f>
        <v>0</v>
      </c>
      <c r="K199" s="6" t="b">
        <f>SUMPRODUCT(--ISNUMBER(SEARCH(CategoriesConfig!E$3:E$12,$B199)))&gt;0</f>
        <v>0</v>
      </c>
      <c r="L199" s="6" t="b">
        <f>SUMPRODUCT(--ISNUMBER(SEARCH(CategoriesConfig!F$3:F$12,$B199)))&gt;0</f>
        <v>0</v>
      </c>
      <c r="M199" s="6" t="b">
        <f>SUMPRODUCT(--ISNUMBER(SEARCH(CategoriesConfig!G$3:G$12,$B199)))&gt;0</f>
        <v>0</v>
      </c>
      <c r="N199" s="6" t="b">
        <f>SUMPRODUCT(--ISNUMBER(SEARCH(CategoriesConfig!H$3:H$12,$B199)))&gt;0</f>
        <v>0</v>
      </c>
      <c r="O199" s="6" t="b">
        <f>SUMPRODUCT(--ISNUMBER(SEARCH(CategoriesConfig!I$3:I$12,$B199)))&gt;0</f>
        <v>0</v>
      </c>
      <c r="P199" s="22" t="b">
        <f t="shared" si="9"/>
        <v>0</v>
      </c>
      <c r="Q199" s="22">
        <f t="shared" si="11"/>
        <v>7</v>
      </c>
      <c r="S199" s="6" t="str">
        <f t="shared" si="10"/>
        <v>U</v>
      </c>
    </row>
    <row r="200" spans="1:19" ht="13.5" thickBot="1" x14ac:dyDescent="0.25">
      <c r="A200" s="4">
        <f>DATEVALUE(DataIn!A220)</f>
        <v>42918</v>
      </c>
      <c r="B200" s="5" t="str">
        <f>DataIn!B220</f>
        <v>POS 512967XXXXXX4422 ZES*UBER INDIA S POS DEBIT</v>
      </c>
      <c r="C200" s="5" t="str">
        <f>DataIn!C220</f>
        <v>0000718340224636</v>
      </c>
      <c r="D200" s="5" t="str">
        <f>DataIn!D220</f>
        <v>02/07/17</v>
      </c>
      <c r="E200" s="5">
        <f>DataIn!E220</f>
        <v>111.7</v>
      </c>
      <c r="F200" s="5">
        <f>DataIn!F220</f>
        <v>0</v>
      </c>
      <c r="G200" s="5">
        <f>DataIn!G220</f>
        <v>82567.62</v>
      </c>
      <c r="H200" s="6" t="b">
        <f>SUMPRODUCT(--ISNUMBER(SEARCH(CategoriesConfig!B$3:B$12,$B200)))&gt;0</f>
        <v>0</v>
      </c>
      <c r="I200" s="6" t="b">
        <f>SUMPRODUCT(--ISNUMBER(SEARCH(CategoriesConfig!C$3:C$12,$B200)))&gt;0</f>
        <v>1</v>
      </c>
      <c r="J200" s="6" t="b">
        <f>SUMPRODUCT(--ISNUMBER(SEARCH(CategoriesConfig!D$3:D$12,$B200)))&gt;0</f>
        <v>0</v>
      </c>
      <c r="K200" s="6" t="b">
        <f>SUMPRODUCT(--ISNUMBER(SEARCH(CategoriesConfig!E$3:E$12,$B200)))&gt;0</f>
        <v>0</v>
      </c>
      <c r="L200" s="6" t="b">
        <f>SUMPRODUCT(--ISNUMBER(SEARCH(CategoriesConfig!F$3:F$12,$B200)))&gt;0</f>
        <v>0</v>
      </c>
      <c r="M200" s="6" t="b">
        <f>SUMPRODUCT(--ISNUMBER(SEARCH(CategoriesConfig!G$3:G$12,$B200)))&gt;0</f>
        <v>0</v>
      </c>
      <c r="N200" s="6" t="b">
        <f>SUMPRODUCT(--ISNUMBER(SEARCH(CategoriesConfig!H$3:H$12,$B200)))&gt;0</f>
        <v>0</v>
      </c>
      <c r="O200" s="6" t="b">
        <f>SUMPRODUCT(--ISNUMBER(SEARCH(CategoriesConfig!I$3:I$12,$B200)))&gt;0</f>
        <v>0</v>
      </c>
      <c r="P200" s="22" t="b">
        <f t="shared" si="9"/>
        <v>0</v>
      </c>
      <c r="Q200" s="22">
        <f t="shared" si="11"/>
        <v>7</v>
      </c>
      <c r="S200" s="6" t="str">
        <f t="shared" si="10"/>
        <v>U</v>
      </c>
    </row>
    <row r="201" spans="1:19" ht="13.5" thickBot="1" x14ac:dyDescent="0.25">
      <c r="A201" s="4">
        <f>DATEVALUE(DataIn!A221)</f>
        <v>42918</v>
      </c>
      <c r="B201" s="5" t="str">
        <f>DataIn!B221</f>
        <v>POS 512967XXXXXX4422 ZES*UBER INDIA S POS DEBIT</v>
      </c>
      <c r="C201" s="5" t="str">
        <f>DataIn!C221</f>
        <v>0000718340235378</v>
      </c>
      <c r="D201" s="5" t="str">
        <f>DataIn!D221</f>
        <v>02/07/17</v>
      </c>
      <c r="E201" s="5">
        <f>DataIn!E221</f>
        <v>98.08</v>
      </c>
      <c r="F201" s="5">
        <f>DataIn!F221</f>
        <v>0</v>
      </c>
      <c r="G201" s="5">
        <f>DataIn!G221</f>
        <v>82469.539999999994</v>
      </c>
      <c r="H201" s="6" t="b">
        <f>SUMPRODUCT(--ISNUMBER(SEARCH(CategoriesConfig!B$3:B$12,$B201)))&gt;0</f>
        <v>0</v>
      </c>
      <c r="I201" s="6" t="b">
        <f>SUMPRODUCT(--ISNUMBER(SEARCH(CategoriesConfig!C$3:C$12,$B201)))&gt;0</f>
        <v>1</v>
      </c>
      <c r="J201" s="6" t="b">
        <f>SUMPRODUCT(--ISNUMBER(SEARCH(CategoriesConfig!D$3:D$12,$B201)))&gt;0</f>
        <v>0</v>
      </c>
      <c r="K201" s="6" t="b">
        <f>SUMPRODUCT(--ISNUMBER(SEARCH(CategoriesConfig!E$3:E$12,$B201)))&gt;0</f>
        <v>0</v>
      </c>
      <c r="L201" s="6" t="b">
        <f>SUMPRODUCT(--ISNUMBER(SEARCH(CategoriesConfig!F$3:F$12,$B201)))&gt;0</f>
        <v>0</v>
      </c>
      <c r="M201" s="6" t="b">
        <f>SUMPRODUCT(--ISNUMBER(SEARCH(CategoriesConfig!G$3:G$12,$B201)))&gt;0</f>
        <v>0</v>
      </c>
      <c r="N201" s="6" t="b">
        <f>SUMPRODUCT(--ISNUMBER(SEARCH(CategoriesConfig!H$3:H$12,$B201)))&gt;0</f>
        <v>0</v>
      </c>
      <c r="O201" s="6" t="b">
        <f>SUMPRODUCT(--ISNUMBER(SEARCH(CategoriesConfig!I$3:I$12,$B201)))&gt;0</f>
        <v>0</v>
      </c>
      <c r="P201" s="22" t="b">
        <f t="shared" si="9"/>
        <v>0</v>
      </c>
      <c r="Q201" s="22">
        <f t="shared" si="11"/>
        <v>7</v>
      </c>
      <c r="S201" s="6" t="str">
        <f t="shared" si="10"/>
        <v>U</v>
      </c>
    </row>
    <row r="202" spans="1:19" ht="13.5" thickBot="1" x14ac:dyDescent="0.25">
      <c r="A202" s="4">
        <f>DATEVALUE(DataIn!A222)</f>
        <v>42919</v>
      </c>
      <c r="B202" s="5" t="str">
        <f>DataIn!B222</f>
        <v>POS 512967XXXXXX4422 ZES*UBER INDIA S POS DEBIT</v>
      </c>
      <c r="C202" s="5" t="str">
        <f>DataIn!C222</f>
        <v>0000718440048728</v>
      </c>
      <c r="D202" s="5" t="str">
        <f>DataIn!D222</f>
        <v>03/07/17</v>
      </c>
      <c r="E202" s="5">
        <f>DataIn!E222</f>
        <v>10.25</v>
      </c>
      <c r="F202" s="5">
        <f>DataIn!F222</f>
        <v>0</v>
      </c>
      <c r="G202" s="5">
        <f>DataIn!G222</f>
        <v>82459.289999999994</v>
      </c>
      <c r="H202" s="6" t="b">
        <f>SUMPRODUCT(--ISNUMBER(SEARCH(CategoriesConfig!B$3:B$12,$B202)))&gt;0</f>
        <v>0</v>
      </c>
      <c r="I202" s="6" t="b">
        <f>SUMPRODUCT(--ISNUMBER(SEARCH(CategoriesConfig!C$3:C$12,$B202)))&gt;0</f>
        <v>1</v>
      </c>
      <c r="J202" s="6" t="b">
        <f>SUMPRODUCT(--ISNUMBER(SEARCH(CategoriesConfig!D$3:D$12,$B202)))&gt;0</f>
        <v>0</v>
      </c>
      <c r="K202" s="6" t="b">
        <f>SUMPRODUCT(--ISNUMBER(SEARCH(CategoriesConfig!E$3:E$12,$B202)))&gt;0</f>
        <v>0</v>
      </c>
      <c r="L202" s="6" t="b">
        <f>SUMPRODUCT(--ISNUMBER(SEARCH(CategoriesConfig!F$3:F$12,$B202)))&gt;0</f>
        <v>0</v>
      </c>
      <c r="M202" s="6" t="b">
        <f>SUMPRODUCT(--ISNUMBER(SEARCH(CategoriesConfig!G$3:G$12,$B202)))&gt;0</f>
        <v>0</v>
      </c>
      <c r="N202" s="6" t="b">
        <f>SUMPRODUCT(--ISNUMBER(SEARCH(CategoriesConfig!H$3:H$12,$B202)))&gt;0</f>
        <v>0</v>
      </c>
      <c r="O202" s="6" t="b">
        <f>SUMPRODUCT(--ISNUMBER(SEARCH(CategoriesConfig!I$3:I$12,$B202)))&gt;0</f>
        <v>0</v>
      </c>
      <c r="P202" s="22" t="b">
        <f t="shared" si="9"/>
        <v>0</v>
      </c>
      <c r="Q202" s="22">
        <f t="shared" si="11"/>
        <v>7</v>
      </c>
      <c r="S202" s="6" t="str">
        <f t="shared" si="10"/>
        <v>U</v>
      </c>
    </row>
    <row r="203" spans="1:19" ht="13.5" thickBot="1" x14ac:dyDescent="0.25">
      <c r="A203" s="4">
        <f>DATEVALUE(DataIn!A223)</f>
        <v>42919</v>
      </c>
      <c r="B203" s="5" t="str">
        <f>DataIn!B223</f>
        <v>POS 512967XXXXXX4422 CELEBRATIONS, POS DEBIT</v>
      </c>
      <c r="C203" s="5" t="str">
        <f>DataIn!C223</f>
        <v>0000000000018025</v>
      </c>
      <c r="D203" s="5" t="str">
        <f>DataIn!D223</f>
        <v>03/07/17</v>
      </c>
      <c r="E203" s="5">
        <f>DataIn!E223</f>
        <v>94</v>
      </c>
      <c r="F203" s="5">
        <f>DataIn!F223</f>
        <v>0</v>
      </c>
      <c r="G203" s="5">
        <f>DataIn!G223</f>
        <v>82365.289999999994</v>
      </c>
      <c r="H203" s="6" t="b">
        <f>SUMPRODUCT(--ISNUMBER(SEARCH(CategoriesConfig!B$3:B$12,$B203)))&gt;0</f>
        <v>0</v>
      </c>
      <c r="I203" s="6" t="b">
        <f>SUMPRODUCT(--ISNUMBER(SEARCH(CategoriesConfig!C$3:C$12,$B203)))&gt;0</f>
        <v>0</v>
      </c>
      <c r="J203" s="6" t="b">
        <f>SUMPRODUCT(--ISNUMBER(SEARCH(CategoriesConfig!D$3:D$12,$B203)))&gt;0</f>
        <v>1</v>
      </c>
      <c r="K203" s="6" t="b">
        <f>SUMPRODUCT(--ISNUMBER(SEARCH(CategoriesConfig!E$3:E$12,$B203)))&gt;0</f>
        <v>0</v>
      </c>
      <c r="L203" s="6" t="b">
        <f>SUMPRODUCT(--ISNUMBER(SEARCH(CategoriesConfig!F$3:F$12,$B203)))&gt;0</f>
        <v>0</v>
      </c>
      <c r="M203" s="6" t="b">
        <f>SUMPRODUCT(--ISNUMBER(SEARCH(CategoriesConfig!G$3:G$12,$B203)))&gt;0</f>
        <v>0</v>
      </c>
      <c r="N203" s="6" t="b">
        <f>SUMPRODUCT(--ISNUMBER(SEARCH(CategoriesConfig!H$3:H$12,$B203)))&gt;0</f>
        <v>0</v>
      </c>
      <c r="O203" s="6" t="b">
        <f>SUMPRODUCT(--ISNUMBER(SEARCH(CategoriesConfig!I$3:I$12,$B203)))&gt;0</f>
        <v>0</v>
      </c>
      <c r="P203" s="22" t="b">
        <f t="shared" si="9"/>
        <v>0</v>
      </c>
      <c r="Q203" s="22">
        <f t="shared" si="11"/>
        <v>7</v>
      </c>
      <c r="S203" s="6" t="str">
        <f t="shared" si="10"/>
        <v>L</v>
      </c>
    </row>
    <row r="204" spans="1:19" ht="13.5" thickBot="1" x14ac:dyDescent="0.25">
      <c r="A204" s="4">
        <f>DATEVALUE(DataIn!A224)</f>
        <v>42919</v>
      </c>
      <c r="B204" s="5" t="str">
        <f>DataIn!B224</f>
        <v>NWD-512967XXXXXX4422-09640001-BANGALORE</v>
      </c>
      <c r="C204" s="5" t="str">
        <f>DataIn!C224</f>
        <v>0000718419082556</v>
      </c>
      <c r="D204" s="5" t="str">
        <f>DataIn!D224</f>
        <v>03/07/17</v>
      </c>
      <c r="E204" s="5">
        <f>DataIn!E224</f>
        <v>2200</v>
      </c>
      <c r="F204" s="5">
        <f>DataIn!F224</f>
        <v>0</v>
      </c>
      <c r="G204" s="5">
        <f>DataIn!G224</f>
        <v>80165.289999999994</v>
      </c>
      <c r="H204" s="6" t="b">
        <f>SUMPRODUCT(--ISNUMBER(SEARCH(CategoriesConfig!B$3:B$12,$B204)))&gt;0</f>
        <v>0</v>
      </c>
      <c r="I204" s="6" t="b">
        <f>SUMPRODUCT(--ISNUMBER(SEARCH(CategoriesConfig!C$3:C$12,$B204)))&gt;0</f>
        <v>0</v>
      </c>
      <c r="J204" s="6" t="b">
        <f>SUMPRODUCT(--ISNUMBER(SEARCH(CategoriesConfig!D$3:D$12,$B204)))&gt;0</f>
        <v>0</v>
      </c>
      <c r="K204" s="6" t="b">
        <f>SUMPRODUCT(--ISNUMBER(SEARCH(CategoriesConfig!E$3:E$12,$B204)))&gt;0</f>
        <v>0</v>
      </c>
      <c r="L204" s="6" t="b">
        <f>SUMPRODUCT(--ISNUMBER(SEARCH(CategoriesConfig!F$3:F$12,$B204)))&gt;0</f>
        <v>0</v>
      </c>
      <c r="M204" s="6" t="b">
        <f>SUMPRODUCT(--ISNUMBER(SEARCH(CategoriesConfig!G$3:G$12,$B204)))&gt;0</f>
        <v>0</v>
      </c>
      <c r="N204" s="6" t="b">
        <f>SUMPRODUCT(--ISNUMBER(SEARCH(CategoriesConfig!H$3:H$12,$B204)))&gt;0</f>
        <v>1</v>
      </c>
      <c r="O204" s="6" t="b">
        <f>SUMPRODUCT(--ISNUMBER(SEARCH(CategoriesConfig!I$3:I$12,$B204)))&gt;0</f>
        <v>0</v>
      </c>
      <c r="P204" s="22" t="b">
        <f t="shared" si="9"/>
        <v>0</v>
      </c>
      <c r="Q204" s="22">
        <f t="shared" si="11"/>
        <v>7</v>
      </c>
      <c r="S204" s="6" t="str">
        <f t="shared" si="10"/>
        <v>C</v>
      </c>
    </row>
    <row r="205" spans="1:19" ht="13.5" thickBot="1" x14ac:dyDescent="0.25">
      <c r="A205" s="4">
        <f>DATEVALUE(DataIn!A225)</f>
        <v>42919</v>
      </c>
      <c r="B205" s="5" t="str">
        <f>DataIn!B225</f>
        <v>POS 512967XXXXXX4422 ONE97 COMMUNICAT POS DEBIT</v>
      </c>
      <c r="C205" s="5" t="str">
        <f>DataIn!C225</f>
        <v>0000000000694210</v>
      </c>
      <c r="D205" s="5" t="str">
        <f>DataIn!D225</f>
        <v>03/07/17</v>
      </c>
      <c r="E205" s="5">
        <f>DataIn!E225</f>
        <v>3428</v>
      </c>
      <c r="F205" s="5">
        <f>DataIn!F225</f>
        <v>0</v>
      </c>
      <c r="G205" s="5">
        <f>DataIn!G225</f>
        <v>76737.289999999994</v>
      </c>
      <c r="H205" s="6" t="b">
        <f>SUMPRODUCT(--ISNUMBER(SEARCH(CategoriesConfig!B$3:B$12,$B205)))&gt;0</f>
        <v>0</v>
      </c>
      <c r="I205" s="6" t="b">
        <f>SUMPRODUCT(--ISNUMBER(SEARCH(CategoriesConfig!C$3:C$12,$B205)))&gt;0</f>
        <v>0</v>
      </c>
      <c r="J205" s="6" t="b">
        <f>SUMPRODUCT(--ISNUMBER(SEARCH(CategoriesConfig!D$3:D$12,$B205)))&gt;0</f>
        <v>0</v>
      </c>
      <c r="K205" s="6" t="b">
        <f>SUMPRODUCT(--ISNUMBER(SEARCH(CategoriesConfig!E$3:E$12,$B205)))&gt;0</f>
        <v>0</v>
      </c>
      <c r="L205" s="6" t="b">
        <f>SUMPRODUCT(--ISNUMBER(SEARCH(CategoriesConfig!F$3:F$12,$B205)))&gt;0</f>
        <v>0</v>
      </c>
      <c r="M205" s="6" t="b">
        <f>SUMPRODUCT(--ISNUMBER(SEARCH(CategoriesConfig!G$3:G$12,$B205)))&gt;0</f>
        <v>0</v>
      </c>
      <c r="N205" s="6" t="b">
        <f>SUMPRODUCT(--ISNUMBER(SEARCH(CategoriesConfig!H$3:H$12,$B205)))&gt;0</f>
        <v>0</v>
      </c>
      <c r="O205" s="6" t="b">
        <f>SUMPRODUCT(--ISNUMBER(SEARCH(CategoriesConfig!I$3:I$12,$B205)))&gt;0</f>
        <v>0</v>
      </c>
      <c r="P205" s="22" t="b">
        <f t="shared" si="9"/>
        <v>1</v>
      </c>
      <c r="Q205" s="22">
        <f t="shared" si="11"/>
        <v>7</v>
      </c>
      <c r="R205" s="2" t="s">
        <v>223</v>
      </c>
      <c r="S205" s="6" t="str">
        <f t="shared" si="10"/>
        <v>M</v>
      </c>
    </row>
    <row r="206" spans="1:19" ht="13.5" thickBot="1" x14ac:dyDescent="0.25">
      <c r="A206" s="4">
        <f>DATEVALUE(DataIn!A226)</f>
        <v>42920</v>
      </c>
      <c r="B206" s="5" t="str">
        <f>DataIn!B226</f>
        <v>POS 512967XXXXXX4422 ZES*UBER INDIA S POS DEBIT</v>
      </c>
      <c r="C206" s="5" t="str">
        <f>DataIn!C226</f>
        <v>0000718500050015</v>
      </c>
      <c r="D206" s="5" t="str">
        <f>DataIn!D226</f>
        <v>04/07/17</v>
      </c>
      <c r="E206" s="5">
        <f>DataIn!E226</f>
        <v>194.94</v>
      </c>
      <c r="F206" s="5">
        <f>DataIn!F226</f>
        <v>0</v>
      </c>
      <c r="G206" s="5">
        <f>DataIn!G226</f>
        <v>76542.350000000006</v>
      </c>
      <c r="H206" s="6" t="b">
        <f>SUMPRODUCT(--ISNUMBER(SEARCH(CategoriesConfig!B$3:B$12,$B206)))&gt;0</f>
        <v>0</v>
      </c>
      <c r="I206" s="6" t="b">
        <f>SUMPRODUCT(--ISNUMBER(SEARCH(CategoriesConfig!C$3:C$12,$B206)))&gt;0</f>
        <v>1</v>
      </c>
      <c r="J206" s="6" t="b">
        <f>SUMPRODUCT(--ISNUMBER(SEARCH(CategoriesConfig!D$3:D$12,$B206)))&gt;0</f>
        <v>0</v>
      </c>
      <c r="K206" s="6" t="b">
        <f>SUMPRODUCT(--ISNUMBER(SEARCH(CategoriesConfig!E$3:E$12,$B206)))&gt;0</f>
        <v>0</v>
      </c>
      <c r="L206" s="6" t="b">
        <f>SUMPRODUCT(--ISNUMBER(SEARCH(CategoriesConfig!F$3:F$12,$B206)))&gt;0</f>
        <v>0</v>
      </c>
      <c r="M206" s="6" t="b">
        <f>SUMPRODUCT(--ISNUMBER(SEARCH(CategoriesConfig!G$3:G$12,$B206)))&gt;0</f>
        <v>0</v>
      </c>
      <c r="N206" s="6" t="b">
        <f>SUMPRODUCT(--ISNUMBER(SEARCH(CategoriesConfig!H$3:H$12,$B206)))&gt;0</f>
        <v>0</v>
      </c>
      <c r="O206" s="6" t="b">
        <f>SUMPRODUCT(--ISNUMBER(SEARCH(CategoriesConfig!I$3:I$12,$B206)))&gt;0</f>
        <v>0</v>
      </c>
      <c r="P206" s="22" t="b">
        <f t="shared" si="9"/>
        <v>0</v>
      </c>
      <c r="Q206" s="22">
        <f t="shared" si="11"/>
        <v>7</v>
      </c>
      <c r="S206" s="6" t="str">
        <f t="shared" si="10"/>
        <v>U</v>
      </c>
    </row>
    <row r="207" spans="1:19" ht="13.5" thickBot="1" x14ac:dyDescent="0.25">
      <c r="A207" s="4">
        <f>DATEVALUE(DataIn!A227)</f>
        <v>42920</v>
      </c>
      <c r="B207" s="5" t="str">
        <f>DataIn!B227</f>
        <v>POS 512967XXXXXX4422 CELEBRATIONS, POS DEBIT</v>
      </c>
      <c r="C207" s="5" t="str">
        <f>DataIn!C227</f>
        <v>0000000000018327</v>
      </c>
      <c r="D207" s="5" t="str">
        <f>DataIn!D227</f>
        <v>04/07/17</v>
      </c>
      <c r="E207" s="5">
        <f>DataIn!E227</f>
        <v>94</v>
      </c>
      <c r="F207" s="5">
        <f>DataIn!F227</f>
        <v>0</v>
      </c>
      <c r="G207" s="5">
        <f>DataIn!G227</f>
        <v>76448.350000000006</v>
      </c>
      <c r="H207" s="6" t="b">
        <f>SUMPRODUCT(--ISNUMBER(SEARCH(CategoriesConfig!B$3:B$12,$B207)))&gt;0</f>
        <v>0</v>
      </c>
      <c r="I207" s="6" t="b">
        <f>SUMPRODUCT(--ISNUMBER(SEARCH(CategoriesConfig!C$3:C$12,$B207)))&gt;0</f>
        <v>0</v>
      </c>
      <c r="J207" s="6" t="b">
        <f>SUMPRODUCT(--ISNUMBER(SEARCH(CategoriesConfig!D$3:D$12,$B207)))&gt;0</f>
        <v>1</v>
      </c>
      <c r="K207" s="6" t="b">
        <f>SUMPRODUCT(--ISNUMBER(SEARCH(CategoriesConfig!E$3:E$12,$B207)))&gt;0</f>
        <v>0</v>
      </c>
      <c r="L207" s="6" t="b">
        <f>SUMPRODUCT(--ISNUMBER(SEARCH(CategoriesConfig!F$3:F$12,$B207)))&gt;0</f>
        <v>0</v>
      </c>
      <c r="M207" s="6" t="b">
        <f>SUMPRODUCT(--ISNUMBER(SEARCH(CategoriesConfig!G$3:G$12,$B207)))&gt;0</f>
        <v>0</v>
      </c>
      <c r="N207" s="6" t="b">
        <f>SUMPRODUCT(--ISNUMBER(SEARCH(CategoriesConfig!H$3:H$12,$B207)))&gt;0</f>
        <v>0</v>
      </c>
      <c r="O207" s="6" t="b">
        <f>SUMPRODUCT(--ISNUMBER(SEARCH(CategoriesConfig!I$3:I$12,$B207)))&gt;0</f>
        <v>0</v>
      </c>
      <c r="P207" s="22" t="b">
        <f t="shared" si="9"/>
        <v>0</v>
      </c>
      <c r="Q207" s="22">
        <f t="shared" si="11"/>
        <v>7</v>
      </c>
      <c r="S207" s="6" t="str">
        <f t="shared" si="10"/>
        <v>L</v>
      </c>
    </row>
    <row r="208" spans="1:19" ht="13.5" thickBot="1" x14ac:dyDescent="0.25">
      <c r="A208" s="4">
        <f>DATEVALUE(DataIn!A228)</f>
        <v>42921</v>
      </c>
      <c r="B208" s="5" t="str">
        <f>DataIn!B228</f>
        <v>POS 512967XXXXXX4422 ZES*UBER INDIA S POS DEBIT</v>
      </c>
      <c r="C208" s="5" t="str">
        <f>DataIn!C228</f>
        <v>0000718640054247</v>
      </c>
      <c r="D208" s="5" t="str">
        <f>DataIn!D228</f>
        <v>05/07/17</v>
      </c>
      <c r="E208" s="5">
        <f>DataIn!E228</f>
        <v>162.77000000000001</v>
      </c>
      <c r="F208" s="5">
        <f>DataIn!F228</f>
        <v>0</v>
      </c>
      <c r="G208" s="5">
        <f>DataIn!G228</f>
        <v>76285.58</v>
      </c>
      <c r="H208" s="6" t="b">
        <f>SUMPRODUCT(--ISNUMBER(SEARCH(CategoriesConfig!B$3:B$12,$B208)))&gt;0</f>
        <v>0</v>
      </c>
      <c r="I208" s="6" t="b">
        <f>SUMPRODUCT(--ISNUMBER(SEARCH(CategoriesConfig!C$3:C$12,$B208)))&gt;0</f>
        <v>1</v>
      </c>
      <c r="J208" s="6" t="b">
        <f>SUMPRODUCT(--ISNUMBER(SEARCH(CategoriesConfig!D$3:D$12,$B208)))&gt;0</f>
        <v>0</v>
      </c>
      <c r="K208" s="6" t="b">
        <f>SUMPRODUCT(--ISNUMBER(SEARCH(CategoriesConfig!E$3:E$12,$B208)))&gt;0</f>
        <v>0</v>
      </c>
      <c r="L208" s="6" t="b">
        <f>SUMPRODUCT(--ISNUMBER(SEARCH(CategoriesConfig!F$3:F$12,$B208)))&gt;0</f>
        <v>0</v>
      </c>
      <c r="M208" s="6" t="b">
        <f>SUMPRODUCT(--ISNUMBER(SEARCH(CategoriesConfig!G$3:G$12,$B208)))&gt;0</f>
        <v>0</v>
      </c>
      <c r="N208" s="6" t="b">
        <f>SUMPRODUCT(--ISNUMBER(SEARCH(CategoriesConfig!H$3:H$12,$B208)))&gt;0</f>
        <v>0</v>
      </c>
      <c r="O208" s="6" t="b">
        <f>SUMPRODUCT(--ISNUMBER(SEARCH(CategoriesConfig!I$3:I$12,$B208)))&gt;0</f>
        <v>0</v>
      </c>
      <c r="P208" s="22" t="b">
        <f t="shared" si="9"/>
        <v>0</v>
      </c>
      <c r="Q208" s="22">
        <f t="shared" si="11"/>
        <v>7</v>
      </c>
      <c r="S208" s="6" t="str">
        <f t="shared" si="10"/>
        <v>U</v>
      </c>
    </row>
    <row r="209" spans="1:19" ht="13.5" thickBot="1" x14ac:dyDescent="0.25">
      <c r="A209" s="4">
        <f>DATEVALUE(DataIn!A229)</f>
        <v>42921</v>
      </c>
      <c r="B209" s="5" t="str">
        <f>DataIn!B229</f>
        <v>POS 512967XXXXXX4422 CELEBRATIONS, POS DEBIT</v>
      </c>
      <c r="C209" s="5" t="str">
        <f>DataIn!C229</f>
        <v>0000000000018500</v>
      </c>
      <c r="D209" s="5" t="str">
        <f>DataIn!D229</f>
        <v>05/07/17</v>
      </c>
      <c r="E209" s="5">
        <f>DataIn!E229</f>
        <v>94</v>
      </c>
      <c r="F209" s="5">
        <f>DataIn!F229</f>
        <v>0</v>
      </c>
      <c r="G209" s="5">
        <f>DataIn!G229</f>
        <v>76191.58</v>
      </c>
      <c r="H209" s="6" t="b">
        <f>SUMPRODUCT(--ISNUMBER(SEARCH(CategoriesConfig!B$3:B$12,$B209)))&gt;0</f>
        <v>0</v>
      </c>
      <c r="I209" s="6" t="b">
        <f>SUMPRODUCT(--ISNUMBER(SEARCH(CategoriesConfig!C$3:C$12,$B209)))&gt;0</f>
        <v>0</v>
      </c>
      <c r="J209" s="6" t="b">
        <f>SUMPRODUCT(--ISNUMBER(SEARCH(CategoriesConfig!D$3:D$12,$B209)))&gt;0</f>
        <v>1</v>
      </c>
      <c r="K209" s="6" t="b">
        <f>SUMPRODUCT(--ISNUMBER(SEARCH(CategoriesConfig!E$3:E$12,$B209)))&gt;0</f>
        <v>0</v>
      </c>
      <c r="L209" s="6" t="b">
        <f>SUMPRODUCT(--ISNUMBER(SEARCH(CategoriesConfig!F$3:F$12,$B209)))&gt;0</f>
        <v>0</v>
      </c>
      <c r="M209" s="6" t="b">
        <f>SUMPRODUCT(--ISNUMBER(SEARCH(CategoriesConfig!G$3:G$12,$B209)))&gt;0</f>
        <v>0</v>
      </c>
      <c r="N209" s="6" t="b">
        <f>SUMPRODUCT(--ISNUMBER(SEARCH(CategoriesConfig!H$3:H$12,$B209)))&gt;0</f>
        <v>0</v>
      </c>
      <c r="O209" s="6" t="b">
        <f>SUMPRODUCT(--ISNUMBER(SEARCH(CategoriesConfig!I$3:I$12,$B209)))&gt;0</f>
        <v>0</v>
      </c>
      <c r="P209" s="22" t="b">
        <f t="shared" si="9"/>
        <v>0</v>
      </c>
      <c r="Q209" s="22">
        <f t="shared" si="11"/>
        <v>7</v>
      </c>
      <c r="S209" s="6" t="str">
        <f t="shared" si="10"/>
        <v>L</v>
      </c>
    </row>
    <row r="210" spans="1:19" ht="13.5" thickBot="1" x14ac:dyDescent="0.25">
      <c r="A210" s="4">
        <f>DATEVALUE(DataIn!A230)</f>
        <v>42921</v>
      </c>
      <c r="B210" s="5" t="str">
        <f>DataIn!B230</f>
        <v>POS 512967XXXXXX4422 DRIBBLE INC POS DEBIT</v>
      </c>
      <c r="C210" s="5" t="str">
        <f>DataIn!C230</f>
        <v>0000000000000665</v>
      </c>
      <c r="D210" s="5" t="str">
        <f>DataIn!D230</f>
        <v>05/07/17</v>
      </c>
      <c r="E210" s="5">
        <f>DataIn!E230</f>
        <v>153</v>
      </c>
      <c r="F210" s="5">
        <f>DataIn!F230</f>
        <v>0</v>
      </c>
      <c r="G210" s="5">
        <f>DataIn!G230</f>
        <v>76038.58</v>
      </c>
      <c r="H210" s="6" t="b">
        <f>SUMPRODUCT(--ISNUMBER(SEARCH(CategoriesConfig!B$3:B$12,$B210)))&gt;0</f>
        <v>0</v>
      </c>
      <c r="I210" s="6" t="b">
        <f>SUMPRODUCT(--ISNUMBER(SEARCH(CategoriesConfig!C$3:C$12,$B210)))&gt;0</f>
        <v>0</v>
      </c>
      <c r="J210" s="6" t="b">
        <f>SUMPRODUCT(--ISNUMBER(SEARCH(CategoriesConfig!D$3:D$12,$B210)))&gt;0</f>
        <v>0</v>
      </c>
      <c r="K210" s="6" t="b">
        <f>SUMPRODUCT(--ISNUMBER(SEARCH(CategoriesConfig!E$3:E$12,$B210)))&gt;0</f>
        <v>0</v>
      </c>
      <c r="L210" s="6" t="b">
        <f>SUMPRODUCT(--ISNUMBER(SEARCH(CategoriesConfig!F$3:F$12,$B210)))&gt;0</f>
        <v>0</v>
      </c>
      <c r="M210" s="6" t="b">
        <f>SUMPRODUCT(--ISNUMBER(SEARCH(CategoriesConfig!G$3:G$12,$B210)))&gt;0</f>
        <v>1</v>
      </c>
      <c r="N210" s="6" t="b">
        <f>SUMPRODUCT(--ISNUMBER(SEARCH(CategoriesConfig!H$3:H$12,$B210)))&gt;0</f>
        <v>0</v>
      </c>
      <c r="O210" s="6" t="b">
        <f>SUMPRODUCT(--ISNUMBER(SEARCH(CategoriesConfig!I$3:I$12,$B210)))&gt;0</f>
        <v>0</v>
      </c>
      <c r="P210" s="22" t="b">
        <f t="shared" si="9"/>
        <v>0</v>
      </c>
      <c r="Q210" s="22">
        <f t="shared" si="11"/>
        <v>7</v>
      </c>
      <c r="S210" s="6" t="str">
        <f t="shared" si="10"/>
        <v>M</v>
      </c>
    </row>
    <row r="211" spans="1:19" ht="13.5" thickBot="1" x14ac:dyDescent="0.25">
      <c r="A211" s="4">
        <f>DATEVALUE(DataIn!A231)</f>
        <v>42921</v>
      </c>
      <c r="B211" s="5" t="str">
        <f>DataIn!B231</f>
        <v>NWD-512967XXXXXX4422-VD103802-BANGALORE</v>
      </c>
      <c r="C211" s="5" t="str">
        <f>DataIn!C231</f>
        <v>0000718622162456</v>
      </c>
      <c r="D211" s="5" t="str">
        <f>DataIn!D231</f>
        <v>05/07/17</v>
      </c>
      <c r="E211" s="5">
        <f>DataIn!E231</f>
        <v>3000</v>
      </c>
      <c r="F211" s="5">
        <f>DataIn!F231</f>
        <v>0</v>
      </c>
      <c r="G211" s="5">
        <f>DataIn!G231</f>
        <v>73038.58</v>
      </c>
      <c r="H211" s="6" t="b">
        <f>SUMPRODUCT(--ISNUMBER(SEARCH(CategoriesConfig!B$3:B$12,$B211)))&gt;0</f>
        <v>0</v>
      </c>
      <c r="I211" s="6" t="b">
        <f>SUMPRODUCT(--ISNUMBER(SEARCH(CategoriesConfig!C$3:C$12,$B211)))&gt;0</f>
        <v>0</v>
      </c>
      <c r="J211" s="6" t="b">
        <f>SUMPRODUCT(--ISNUMBER(SEARCH(CategoriesConfig!D$3:D$12,$B211)))&gt;0</f>
        <v>0</v>
      </c>
      <c r="K211" s="6" t="b">
        <f>SUMPRODUCT(--ISNUMBER(SEARCH(CategoriesConfig!E$3:E$12,$B211)))&gt;0</f>
        <v>0</v>
      </c>
      <c r="L211" s="6" t="b">
        <f>SUMPRODUCT(--ISNUMBER(SEARCH(CategoriesConfig!F$3:F$12,$B211)))&gt;0</f>
        <v>0</v>
      </c>
      <c r="M211" s="6" t="b">
        <f>SUMPRODUCT(--ISNUMBER(SEARCH(CategoriesConfig!G$3:G$12,$B211)))&gt;0</f>
        <v>0</v>
      </c>
      <c r="N211" s="6" t="b">
        <f>SUMPRODUCT(--ISNUMBER(SEARCH(CategoriesConfig!H$3:H$12,$B211)))&gt;0</f>
        <v>1</v>
      </c>
      <c r="O211" s="6" t="b">
        <f>SUMPRODUCT(--ISNUMBER(SEARCH(CategoriesConfig!I$3:I$12,$B211)))&gt;0</f>
        <v>0</v>
      </c>
      <c r="P211" s="22" t="b">
        <f t="shared" si="9"/>
        <v>0</v>
      </c>
      <c r="Q211" s="22">
        <f t="shared" si="11"/>
        <v>7</v>
      </c>
      <c r="S211" s="6" t="str">
        <f t="shared" si="10"/>
        <v>C</v>
      </c>
    </row>
    <row r="212" spans="1:19" ht="13.5" thickBot="1" x14ac:dyDescent="0.25">
      <c r="A212" s="4">
        <f>DATEVALUE(DataIn!A232)</f>
        <v>42922</v>
      </c>
      <c r="B212" s="5" t="str">
        <f>DataIn!B232</f>
        <v>POS 512967XXXXXX4422 ZES*UBER INDIA S POS DEBIT</v>
      </c>
      <c r="C212" s="5" t="str">
        <f>DataIn!C232</f>
        <v>0000718760052300</v>
      </c>
      <c r="D212" s="5" t="str">
        <f>DataIn!D232</f>
        <v>06/07/17</v>
      </c>
      <c r="E212" s="5">
        <f>DataIn!E232</f>
        <v>163.53</v>
      </c>
      <c r="F212" s="5">
        <f>DataIn!F232</f>
        <v>0</v>
      </c>
      <c r="G212" s="5">
        <f>DataIn!G232</f>
        <v>72875.05</v>
      </c>
      <c r="H212" s="6" t="b">
        <f>SUMPRODUCT(--ISNUMBER(SEARCH(CategoriesConfig!B$3:B$12,$B212)))&gt;0</f>
        <v>0</v>
      </c>
      <c r="I212" s="6" t="b">
        <f>SUMPRODUCT(--ISNUMBER(SEARCH(CategoriesConfig!C$3:C$12,$B212)))&gt;0</f>
        <v>1</v>
      </c>
      <c r="J212" s="6" t="b">
        <f>SUMPRODUCT(--ISNUMBER(SEARCH(CategoriesConfig!D$3:D$12,$B212)))&gt;0</f>
        <v>0</v>
      </c>
      <c r="K212" s="6" t="b">
        <f>SUMPRODUCT(--ISNUMBER(SEARCH(CategoriesConfig!E$3:E$12,$B212)))&gt;0</f>
        <v>0</v>
      </c>
      <c r="L212" s="6" t="b">
        <f>SUMPRODUCT(--ISNUMBER(SEARCH(CategoriesConfig!F$3:F$12,$B212)))&gt;0</f>
        <v>0</v>
      </c>
      <c r="M212" s="6" t="b">
        <f>SUMPRODUCT(--ISNUMBER(SEARCH(CategoriesConfig!G$3:G$12,$B212)))&gt;0</f>
        <v>0</v>
      </c>
      <c r="N212" s="6" t="b">
        <f>SUMPRODUCT(--ISNUMBER(SEARCH(CategoriesConfig!H$3:H$12,$B212)))&gt;0</f>
        <v>0</v>
      </c>
      <c r="O212" s="6" t="b">
        <f>SUMPRODUCT(--ISNUMBER(SEARCH(CategoriesConfig!I$3:I$12,$B212)))&gt;0</f>
        <v>0</v>
      </c>
      <c r="P212" s="22" t="b">
        <f t="shared" si="9"/>
        <v>0</v>
      </c>
      <c r="Q212" s="22">
        <f t="shared" si="11"/>
        <v>7</v>
      </c>
      <c r="S212" s="6" t="str">
        <f t="shared" si="10"/>
        <v>U</v>
      </c>
    </row>
    <row r="213" spans="1:19" ht="13.5" thickBot="1" x14ac:dyDescent="0.25">
      <c r="A213" s="4">
        <f>DATEVALUE(DataIn!A233)</f>
        <v>42922</v>
      </c>
      <c r="B213" s="5" t="str">
        <f>DataIn!B233</f>
        <v>POS 512967XXXXXX4422 CELEBRATIONS, POS DEBIT</v>
      </c>
      <c r="C213" s="5" t="str">
        <f>DataIn!C233</f>
        <v>0000000000018846</v>
      </c>
      <c r="D213" s="5" t="str">
        <f>DataIn!D233</f>
        <v>06/07/17</v>
      </c>
      <c r="E213" s="5">
        <f>DataIn!E233</f>
        <v>94</v>
      </c>
      <c r="F213" s="5">
        <f>DataIn!F233</f>
        <v>0</v>
      </c>
      <c r="G213" s="5">
        <f>DataIn!G233</f>
        <v>72781.05</v>
      </c>
      <c r="H213" s="6" t="b">
        <f>SUMPRODUCT(--ISNUMBER(SEARCH(CategoriesConfig!B$3:B$12,$B213)))&gt;0</f>
        <v>0</v>
      </c>
      <c r="I213" s="6" t="b">
        <f>SUMPRODUCT(--ISNUMBER(SEARCH(CategoriesConfig!C$3:C$12,$B213)))&gt;0</f>
        <v>0</v>
      </c>
      <c r="J213" s="6" t="b">
        <f>SUMPRODUCT(--ISNUMBER(SEARCH(CategoriesConfig!D$3:D$12,$B213)))&gt;0</f>
        <v>1</v>
      </c>
      <c r="K213" s="6" t="b">
        <f>SUMPRODUCT(--ISNUMBER(SEARCH(CategoriesConfig!E$3:E$12,$B213)))&gt;0</f>
        <v>0</v>
      </c>
      <c r="L213" s="6" t="b">
        <f>SUMPRODUCT(--ISNUMBER(SEARCH(CategoriesConfig!F$3:F$12,$B213)))&gt;0</f>
        <v>0</v>
      </c>
      <c r="M213" s="6" t="b">
        <f>SUMPRODUCT(--ISNUMBER(SEARCH(CategoriesConfig!G$3:G$12,$B213)))&gt;0</f>
        <v>0</v>
      </c>
      <c r="N213" s="6" t="b">
        <f>SUMPRODUCT(--ISNUMBER(SEARCH(CategoriesConfig!H$3:H$12,$B213)))&gt;0</f>
        <v>0</v>
      </c>
      <c r="O213" s="6" t="b">
        <f>SUMPRODUCT(--ISNUMBER(SEARCH(CategoriesConfig!I$3:I$12,$B213)))&gt;0</f>
        <v>0</v>
      </c>
      <c r="P213" s="22" t="b">
        <f t="shared" si="9"/>
        <v>0</v>
      </c>
      <c r="Q213" s="22">
        <f t="shared" si="11"/>
        <v>7</v>
      </c>
      <c r="S213" s="6" t="str">
        <f t="shared" si="10"/>
        <v>L</v>
      </c>
    </row>
    <row r="214" spans="1:19" ht="13.5" thickBot="1" x14ac:dyDescent="0.25">
      <c r="A214" s="4">
        <f>DATEVALUE(DataIn!A234)</f>
        <v>42922</v>
      </c>
      <c r="B214" s="5" t="str">
        <f>DataIn!B234</f>
        <v>POS 512967XXXXXX4422 HYPERCITY RETAIL POS DEBIT</v>
      </c>
      <c r="C214" s="5" t="str">
        <f>DataIn!C234</f>
        <v>0000000000003788</v>
      </c>
      <c r="D214" s="5" t="str">
        <f>DataIn!D234</f>
        <v>06/07/17</v>
      </c>
      <c r="E214" s="5">
        <f>DataIn!E234</f>
        <v>250</v>
      </c>
      <c r="F214" s="5">
        <f>DataIn!F234</f>
        <v>0</v>
      </c>
      <c r="G214" s="5">
        <f>DataIn!G234</f>
        <v>72531.05</v>
      </c>
      <c r="H214" s="6" t="b">
        <f>SUMPRODUCT(--ISNUMBER(SEARCH(CategoriesConfig!B$3:B$12,$B214)))&gt;0</f>
        <v>0</v>
      </c>
      <c r="I214" s="6" t="b">
        <f>SUMPRODUCT(--ISNUMBER(SEARCH(CategoriesConfig!C$3:C$12,$B214)))&gt;0</f>
        <v>0</v>
      </c>
      <c r="J214" s="6" t="b">
        <f>SUMPRODUCT(--ISNUMBER(SEARCH(CategoriesConfig!D$3:D$12,$B214)))&gt;0</f>
        <v>0</v>
      </c>
      <c r="K214" s="6" t="b">
        <f>SUMPRODUCT(--ISNUMBER(SEARCH(CategoriesConfig!E$3:E$12,$B214)))&gt;0</f>
        <v>0</v>
      </c>
      <c r="L214" s="6" t="b">
        <f>SUMPRODUCT(--ISNUMBER(SEARCH(CategoriesConfig!F$3:F$12,$B214)))&gt;0</f>
        <v>0</v>
      </c>
      <c r="M214" s="6" t="b">
        <f>SUMPRODUCT(--ISNUMBER(SEARCH(CategoriesConfig!G$3:G$12,$B214)))&gt;0</f>
        <v>1</v>
      </c>
      <c r="N214" s="6" t="b">
        <f>SUMPRODUCT(--ISNUMBER(SEARCH(CategoriesConfig!H$3:H$12,$B214)))&gt;0</f>
        <v>0</v>
      </c>
      <c r="O214" s="6" t="b">
        <f>SUMPRODUCT(--ISNUMBER(SEARCH(CategoriesConfig!I$3:I$12,$B214)))&gt;0</f>
        <v>0</v>
      </c>
      <c r="P214" s="22" t="b">
        <f t="shared" si="9"/>
        <v>0</v>
      </c>
      <c r="Q214" s="22">
        <f t="shared" si="11"/>
        <v>7</v>
      </c>
      <c r="S214" s="6" t="str">
        <f t="shared" si="10"/>
        <v>M</v>
      </c>
    </row>
    <row r="215" spans="1:19" ht="13.5" thickBot="1" x14ac:dyDescent="0.25">
      <c r="A215" s="4">
        <f>DATEVALUE(DataIn!A235)</f>
        <v>42922</v>
      </c>
      <c r="B215" s="5" t="str">
        <f>DataIn!B235</f>
        <v>POS 512967XXXXXX4422 BANGALORE METRO POS DEBIT</v>
      </c>
      <c r="C215" s="5" t="str">
        <f>DataIn!C235</f>
        <v>0000000000113673</v>
      </c>
      <c r="D215" s="5" t="str">
        <f>DataIn!D235</f>
        <v>06/07/17</v>
      </c>
      <c r="E215" s="5">
        <f>DataIn!E235</f>
        <v>500</v>
      </c>
      <c r="F215" s="5">
        <f>DataIn!F235</f>
        <v>0</v>
      </c>
      <c r="G215" s="5">
        <f>DataIn!G235</f>
        <v>72031.05</v>
      </c>
      <c r="H215" s="6" t="b">
        <f>SUMPRODUCT(--ISNUMBER(SEARCH(CategoriesConfig!B$3:B$12,$B215)))&gt;0</f>
        <v>0</v>
      </c>
      <c r="I215" s="6" t="b">
        <f>SUMPRODUCT(--ISNUMBER(SEARCH(CategoriesConfig!C$3:C$12,$B215)))&gt;0</f>
        <v>1</v>
      </c>
      <c r="J215" s="6" t="b">
        <f>SUMPRODUCT(--ISNUMBER(SEARCH(CategoriesConfig!D$3:D$12,$B215)))&gt;0</f>
        <v>0</v>
      </c>
      <c r="K215" s="6" t="b">
        <f>SUMPRODUCT(--ISNUMBER(SEARCH(CategoriesConfig!E$3:E$12,$B215)))&gt;0</f>
        <v>0</v>
      </c>
      <c r="L215" s="6" t="b">
        <f>SUMPRODUCT(--ISNUMBER(SEARCH(CategoriesConfig!F$3:F$12,$B215)))&gt;0</f>
        <v>0</v>
      </c>
      <c r="M215" s="6" t="b">
        <f>SUMPRODUCT(--ISNUMBER(SEARCH(CategoriesConfig!G$3:G$12,$B215)))&gt;0</f>
        <v>0</v>
      </c>
      <c r="N215" s="6" t="b">
        <f>SUMPRODUCT(--ISNUMBER(SEARCH(CategoriesConfig!H$3:H$12,$B215)))&gt;0</f>
        <v>0</v>
      </c>
      <c r="O215" s="6" t="b">
        <f>SUMPRODUCT(--ISNUMBER(SEARCH(CategoriesConfig!I$3:I$12,$B215)))&gt;0</f>
        <v>0</v>
      </c>
      <c r="P215" s="22" t="b">
        <f t="shared" si="9"/>
        <v>0</v>
      </c>
      <c r="Q215" s="22">
        <f t="shared" si="11"/>
        <v>7</v>
      </c>
      <c r="S215" s="6" t="str">
        <f t="shared" si="10"/>
        <v>U</v>
      </c>
    </row>
    <row r="216" spans="1:19" ht="13.5" thickBot="1" x14ac:dyDescent="0.25">
      <c r="A216" s="4">
        <f>DATEVALUE(DataIn!A236)</f>
        <v>42923</v>
      </c>
      <c r="B216" s="5" t="str">
        <f>DataIn!B236</f>
        <v>POS 512967XXXXXX4422 ZES*UBER INDIA S POS DEBIT</v>
      </c>
      <c r="C216" s="5" t="str">
        <f>DataIn!C236</f>
        <v>0000718800020864</v>
      </c>
      <c r="D216" s="5" t="str">
        <f>DataIn!D236</f>
        <v>07/07/17</v>
      </c>
      <c r="E216" s="5">
        <f>DataIn!E236</f>
        <v>167.23</v>
      </c>
      <c r="F216" s="5">
        <f>DataIn!F236</f>
        <v>0</v>
      </c>
      <c r="G216" s="5">
        <f>DataIn!G236</f>
        <v>71863.820000000007</v>
      </c>
      <c r="H216" s="6" t="b">
        <f>SUMPRODUCT(--ISNUMBER(SEARCH(CategoriesConfig!B$3:B$12,$B216)))&gt;0</f>
        <v>0</v>
      </c>
      <c r="I216" s="6" t="b">
        <f>SUMPRODUCT(--ISNUMBER(SEARCH(CategoriesConfig!C$3:C$12,$B216)))&gt;0</f>
        <v>1</v>
      </c>
      <c r="J216" s="6" t="b">
        <f>SUMPRODUCT(--ISNUMBER(SEARCH(CategoriesConfig!D$3:D$12,$B216)))&gt;0</f>
        <v>0</v>
      </c>
      <c r="K216" s="6" t="b">
        <f>SUMPRODUCT(--ISNUMBER(SEARCH(CategoriesConfig!E$3:E$12,$B216)))&gt;0</f>
        <v>0</v>
      </c>
      <c r="L216" s="6" t="b">
        <f>SUMPRODUCT(--ISNUMBER(SEARCH(CategoriesConfig!F$3:F$12,$B216)))&gt;0</f>
        <v>0</v>
      </c>
      <c r="M216" s="6" t="b">
        <f>SUMPRODUCT(--ISNUMBER(SEARCH(CategoriesConfig!G$3:G$12,$B216)))&gt;0</f>
        <v>0</v>
      </c>
      <c r="N216" s="6" t="b">
        <f>SUMPRODUCT(--ISNUMBER(SEARCH(CategoriesConfig!H$3:H$12,$B216)))&gt;0</f>
        <v>0</v>
      </c>
      <c r="O216" s="6" t="b">
        <f>SUMPRODUCT(--ISNUMBER(SEARCH(CategoriesConfig!I$3:I$12,$B216)))&gt;0</f>
        <v>0</v>
      </c>
      <c r="P216" s="22" t="b">
        <f t="shared" si="9"/>
        <v>0</v>
      </c>
      <c r="Q216" s="22">
        <f t="shared" si="11"/>
        <v>7</v>
      </c>
      <c r="S216" s="6" t="str">
        <f t="shared" si="10"/>
        <v>U</v>
      </c>
    </row>
    <row r="217" spans="1:19" ht="13.5" thickBot="1" x14ac:dyDescent="0.25">
      <c r="A217" s="4">
        <f>DATEVALUE(DataIn!A237)</f>
        <v>42923</v>
      </c>
      <c r="B217" s="5" t="str">
        <f>DataIn!B237</f>
        <v>POS 512967XXXXXX4422 MC DONALDS. POS DEBIT</v>
      </c>
      <c r="C217" s="5" t="str">
        <f>DataIn!C237</f>
        <v>0000000000043928</v>
      </c>
      <c r="D217" s="5" t="str">
        <f>DataIn!D237</f>
        <v>07/07/17</v>
      </c>
      <c r="E217" s="5">
        <f>DataIn!E237</f>
        <v>379</v>
      </c>
      <c r="F217" s="5">
        <f>DataIn!F237</f>
        <v>0</v>
      </c>
      <c r="G217" s="5">
        <f>DataIn!G237</f>
        <v>71484.820000000007</v>
      </c>
      <c r="H217" s="6" t="b">
        <f>SUMPRODUCT(--ISNUMBER(SEARCH(CategoriesConfig!B$3:B$12,$B217)))&gt;0</f>
        <v>0</v>
      </c>
      <c r="I217" s="6" t="b">
        <f>SUMPRODUCT(--ISNUMBER(SEARCH(CategoriesConfig!C$3:C$12,$B217)))&gt;0</f>
        <v>0</v>
      </c>
      <c r="J217" s="6" t="b">
        <f>SUMPRODUCT(--ISNUMBER(SEARCH(CategoriesConfig!D$3:D$12,$B217)))&gt;0</f>
        <v>0</v>
      </c>
      <c r="K217" s="6" t="b">
        <f>SUMPRODUCT(--ISNUMBER(SEARCH(CategoriesConfig!E$3:E$12,$B217)))&gt;0</f>
        <v>0</v>
      </c>
      <c r="L217" s="6" t="b">
        <f>SUMPRODUCT(--ISNUMBER(SEARCH(CategoriesConfig!F$3:F$12,$B217)))&gt;0</f>
        <v>1</v>
      </c>
      <c r="M217" s="6" t="b">
        <f>SUMPRODUCT(--ISNUMBER(SEARCH(CategoriesConfig!G$3:G$12,$B217)))&gt;0</f>
        <v>0</v>
      </c>
      <c r="N217" s="6" t="b">
        <f>SUMPRODUCT(--ISNUMBER(SEARCH(CategoriesConfig!H$3:H$12,$B217)))&gt;0</f>
        <v>0</v>
      </c>
      <c r="O217" s="6" t="b">
        <f>SUMPRODUCT(--ISNUMBER(SEARCH(CategoriesConfig!I$3:I$12,$B217)))&gt;0</f>
        <v>0</v>
      </c>
      <c r="P217" s="22" t="b">
        <f t="shared" si="9"/>
        <v>0</v>
      </c>
      <c r="Q217" s="22">
        <f t="shared" si="11"/>
        <v>7</v>
      </c>
      <c r="S217" s="6" t="str">
        <f t="shared" si="10"/>
        <v>F</v>
      </c>
    </row>
    <row r="218" spans="1:19" ht="13.5" thickBot="1" x14ac:dyDescent="0.25">
      <c r="A218" s="4">
        <f>DATEVALUE(DataIn!A238)</f>
        <v>42923</v>
      </c>
      <c r="B218" s="5" t="str">
        <f>DataIn!B238</f>
        <v>POS 512967XXXXXX4422 ZES*UBER INDIA S POS DEBIT</v>
      </c>
      <c r="C218" s="5" t="str">
        <f>DataIn!C238</f>
        <v>0000718800179502</v>
      </c>
      <c r="D218" s="5" t="str">
        <f>DataIn!D238</f>
        <v>07/07/17</v>
      </c>
      <c r="E218" s="5">
        <f>DataIn!E238</f>
        <v>169.93</v>
      </c>
      <c r="F218" s="5">
        <f>DataIn!F238</f>
        <v>0</v>
      </c>
      <c r="G218" s="5">
        <f>DataIn!G238</f>
        <v>71314.89</v>
      </c>
      <c r="H218" s="6" t="b">
        <f>SUMPRODUCT(--ISNUMBER(SEARCH(CategoriesConfig!B$3:B$12,$B218)))&gt;0</f>
        <v>0</v>
      </c>
      <c r="I218" s="6" t="b">
        <f>SUMPRODUCT(--ISNUMBER(SEARCH(CategoriesConfig!C$3:C$12,$B218)))&gt;0</f>
        <v>1</v>
      </c>
      <c r="J218" s="6" t="b">
        <f>SUMPRODUCT(--ISNUMBER(SEARCH(CategoriesConfig!D$3:D$12,$B218)))&gt;0</f>
        <v>0</v>
      </c>
      <c r="K218" s="6" t="b">
        <f>SUMPRODUCT(--ISNUMBER(SEARCH(CategoriesConfig!E$3:E$12,$B218)))&gt;0</f>
        <v>0</v>
      </c>
      <c r="L218" s="6" t="b">
        <f>SUMPRODUCT(--ISNUMBER(SEARCH(CategoriesConfig!F$3:F$12,$B218)))&gt;0</f>
        <v>0</v>
      </c>
      <c r="M218" s="6" t="b">
        <f>SUMPRODUCT(--ISNUMBER(SEARCH(CategoriesConfig!G$3:G$12,$B218)))&gt;0</f>
        <v>0</v>
      </c>
      <c r="N218" s="6" t="b">
        <f>SUMPRODUCT(--ISNUMBER(SEARCH(CategoriesConfig!H$3:H$12,$B218)))&gt;0</f>
        <v>0</v>
      </c>
      <c r="O218" s="6" t="b">
        <f>SUMPRODUCT(--ISNUMBER(SEARCH(CategoriesConfig!I$3:I$12,$B218)))&gt;0</f>
        <v>0</v>
      </c>
      <c r="P218" s="22" t="b">
        <f t="shared" si="9"/>
        <v>0</v>
      </c>
      <c r="Q218" s="22">
        <f t="shared" si="11"/>
        <v>7</v>
      </c>
      <c r="S218" s="6" t="str">
        <f t="shared" si="10"/>
        <v>U</v>
      </c>
    </row>
    <row r="219" spans="1:19" ht="13.5" thickBot="1" x14ac:dyDescent="0.25">
      <c r="A219" s="4">
        <f>DATEVALUE(DataIn!A239)</f>
        <v>42923</v>
      </c>
      <c r="B219" s="5" t="str">
        <f>DataIn!B239</f>
        <v>POS 512967XXXXXX4422 PAYU-WWW.SWIGGY. POS DEBIT</v>
      </c>
      <c r="C219" s="5" t="str">
        <f>DataIn!C239</f>
        <v>0000010021969857</v>
      </c>
      <c r="D219" s="5" t="str">
        <f>DataIn!D239</f>
        <v>07/07/17</v>
      </c>
      <c r="E219" s="5">
        <f>DataIn!E239</f>
        <v>1294</v>
      </c>
      <c r="F219" s="5">
        <f>DataIn!F239</f>
        <v>0</v>
      </c>
      <c r="G219" s="5">
        <f>DataIn!G239</f>
        <v>70020.89</v>
      </c>
      <c r="H219" s="6" t="b">
        <f>SUMPRODUCT(--ISNUMBER(SEARCH(CategoriesConfig!B$3:B$12,$B219)))&gt;0</f>
        <v>0</v>
      </c>
      <c r="I219" s="6" t="b">
        <f>SUMPRODUCT(--ISNUMBER(SEARCH(CategoriesConfig!C$3:C$12,$B219)))&gt;0</f>
        <v>0</v>
      </c>
      <c r="J219" s="6" t="b">
        <f>SUMPRODUCT(--ISNUMBER(SEARCH(CategoriesConfig!D$3:D$12,$B219)))&gt;0</f>
        <v>0</v>
      </c>
      <c r="K219" s="6" t="b">
        <f>SUMPRODUCT(--ISNUMBER(SEARCH(CategoriesConfig!E$3:E$12,$B219)))&gt;0</f>
        <v>0</v>
      </c>
      <c r="L219" s="6" t="b">
        <f>SUMPRODUCT(--ISNUMBER(SEARCH(CategoriesConfig!F$3:F$12,$B219)))&gt;0</f>
        <v>1</v>
      </c>
      <c r="M219" s="6" t="b">
        <f>SUMPRODUCT(--ISNUMBER(SEARCH(CategoriesConfig!G$3:G$12,$B219)))&gt;0</f>
        <v>0</v>
      </c>
      <c r="N219" s="6" t="b">
        <f>SUMPRODUCT(--ISNUMBER(SEARCH(CategoriesConfig!H$3:H$12,$B219)))&gt;0</f>
        <v>0</v>
      </c>
      <c r="O219" s="6" t="b">
        <f>SUMPRODUCT(--ISNUMBER(SEARCH(CategoriesConfig!I$3:I$12,$B219)))&gt;0</f>
        <v>0</v>
      </c>
      <c r="P219" s="22" t="b">
        <f t="shared" si="9"/>
        <v>0</v>
      </c>
      <c r="Q219" s="22">
        <f t="shared" si="11"/>
        <v>7</v>
      </c>
      <c r="S219" s="6" t="str">
        <f t="shared" si="10"/>
        <v>F</v>
      </c>
    </row>
    <row r="220" spans="1:19" ht="13.5" thickBot="1" x14ac:dyDescent="0.25">
      <c r="A220" s="4">
        <f>DATEVALUE(DataIn!A240)</f>
        <v>42924</v>
      </c>
      <c r="B220" s="5" t="str">
        <f>DataIn!B240</f>
        <v>POS 512967XXXXXX4422 ZES*UBER INDIA S POS DEBIT</v>
      </c>
      <c r="C220" s="5" t="str">
        <f>DataIn!C240</f>
        <v>0000718940071465</v>
      </c>
      <c r="D220" s="5" t="str">
        <f>DataIn!D240</f>
        <v>08/07/17</v>
      </c>
      <c r="E220" s="5">
        <f>DataIn!E240</f>
        <v>96.55</v>
      </c>
      <c r="F220" s="5">
        <f>DataIn!F240</f>
        <v>0</v>
      </c>
      <c r="G220" s="5">
        <f>DataIn!G240</f>
        <v>69924.34</v>
      </c>
      <c r="H220" s="6" t="b">
        <f>SUMPRODUCT(--ISNUMBER(SEARCH(CategoriesConfig!B$3:B$12,$B220)))&gt;0</f>
        <v>0</v>
      </c>
      <c r="I220" s="6" t="b">
        <f>SUMPRODUCT(--ISNUMBER(SEARCH(CategoriesConfig!C$3:C$12,$B220)))&gt;0</f>
        <v>1</v>
      </c>
      <c r="J220" s="6" t="b">
        <f>SUMPRODUCT(--ISNUMBER(SEARCH(CategoriesConfig!D$3:D$12,$B220)))&gt;0</f>
        <v>0</v>
      </c>
      <c r="K220" s="6" t="b">
        <f>SUMPRODUCT(--ISNUMBER(SEARCH(CategoriesConfig!E$3:E$12,$B220)))&gt;0</f>
        <v>0</v>
      </c>
      <c r="L220" s="6" t="b">
        <f>SUMPRODUCT(--ISNUMBER(SEARCH(CategoriesConfig!F$3:F$12,$B220)))&gt;0</f>
        <v>0</v>
      </c>
      <c r="M220" s="6" t="b">
        <f>SUMPRODUCT(--ISNUMBER(SEARCH(CategoriesConfig!G$3:G$12,$B220)))&gt;0</f>
        <v>0</v>
      </c>
      <c r="N220" s="6" t="b">
        <f>SUMPRODUCT(--ISNUMBER(SEARCH(CategoriesConfig!H$3:H$12,$B220)))&gt;0</f>
        <v>0</v>
      </c>
      <c r="O220" s="6" t="b">
        <f>SUMPRODUCT(--ISNUMBER(SEARCH(CategoriesConfig!I$3:I$12,$B220)))&gt;0</f>
        <v>0</v>
      </c>
      <c r="P220" s="22" t="b">
        <f t="shared" si="9"/>
        <v>0</v>
      </c>
      <c r="Q220" s="22">
        <f t="shared" si="11"/>
        <v>7</v>
      </c>
      <c r="S220" s="6" t="str">
        <f t="shared" si="10"/>
        <v>U</v>
      </c>
    </row>
    <row r="221" spans="1:19" ht="13.5" thickBot="1" x14ac:dyDescent="0.25">
      <c r="A221" s="4">
        <f>DATEVALUE(DataIn!A241)</f>
        <v>42924</v>
      </c>
      <c r="B221" s="5" t="str">
        <f>DataIn!B241</f>
        <v>POS 512967XXXXXX4422 CAFE COFFEE DAY POS DEBIT</v>
      </c>
      <c r="C221" s="5" t="str">
        <f>DataIn!C241</f>
        <v>0000000000181066</v>
      </c>
      <c r="D221" s="5" t="str">
        <f>DataIn!D241</f>
        <v>08/07/17</v>
      </c>
      <c r="E221" s="5">
        <f>DataIn!E241</f>
        <v>137</v>
      </c>
      <c r="F221" s="5">
        <f>DataIn!F241</f>
        <v>0</v>
      </c>
      <c r="G221" s="5">
        <f>DataIn!G241</f>
        <v>69787.34</v>
      </c>
      <c r="H221" s="6" t="b">
        <f>SUMPRODUCT(--ISNUMBER(SEARCH(CategoriesConfig!B$3:B$12,$B221)))&gt;0</f>
        <v>0</v>
      </c>
      <c r="I221" s="6" t="b">
        <f>SUMPRODUCT(--ISNUMBER(SEARCH(CategoriesConfig!C$3:C$12,$B221)))&gt;0</f>
        <v>0</v>
      </c>
      <c r="J221" s="6" t="b">
        <f>SUMPRODUCT(--ISNUMBER(SEARCH(CategoriesConfig!D$3:D$12,$B221)))&gt;0</f>
        <v>0</v>
      </c>
      <c r="K221" s="6" t="b">
        <f>SUMPRODUCT(--ISNUMBER(SEARCH(CategoriesConfig!E$3:E$12,$B221)))&gt;0</f>
        <v>0</v>
      </c>
      <c r="L221" s="6" t="b">
        <f>SUMPRODUCT(--ISNUMBER(SEARCH(CategoriesConfig!F$3:F$12,$B221)))&gt;0</f>
        <v>1</v>
      </c>
      <c r="M221" s="6" t="b">
        <f>SUMPRODUCT(--ISNUMBER(SEARCH(CategoriesConfig!G$3:G$12,$B221)))&gt;0</f>
        <v>0</v>
      </c>
      <c r="N221" s="6" t="b">
        <f>SUMPRODUCT(--ISNUMBER(SEARCH(CategoriesConfig!H$3:H$12,$B221)))&gt;0</f>
        <v>0</v>
      </c>
      <c r="O221" s="6" t="b">
        <f>SUMPRODUCT(--ISNUMBER(SEARCH(CategoriesConfig!I$3:I$12,$B221)))&gt;0</f>
        <v>0</v>
      </c>
      <c r="P221" s="22" t="b">
        <f t="shared" si="9"/>
        <v>0</v>
      </c>
      <c r="Q221" s="22">
        <f t="shared" si="11"/>
        <v>7</v>
      </c>
      <c r="S221" s="6" t="str">
        <f t="shared" si="10"/>
        <v>F</v>
      </c>
    </row>
    <row r="222" spans="1:19" ht="13.5" thickBot="1" x14ac:dyDescent="0.25">
      <c r="A222" s="4">
        <f>DATEVALUE(DataIn!A242)</f>
        <v>42924</v>
      </c>
      <c r="B222" s="5" t="str">
        <f>DataIn!B242</f>
        <v>POS 512967XXXXXX4422 NSDLPAN POS DEBIT</v>
      </c>
      <c r="C222" s="5" t="str">
        <f>DataIn!C242</f>
        <v>0000JF5482420118</v>
      </c>
      <c r="D222" s="5" t="str">
        <f>DataIn!D242</f>
        <v>08/07/17</v>
      </c>
      <c r="E222" s="5">
        <f>DataIn!E242</f>
        <v>113</v>
      </c>
      <c r="F222" s="5">
        <f>DataIn!F242</f>
        <v>0</v>
      </c>
      <c r="G222" s="5">
        <f>DataIn!G242</f>
        <v>69674.34</v>
      </c>
      <c r="H222" s="6" t="b">
        <f>SUMPRODUCT(--ISNUMBER(SEARCH(CategoriesConfig!B$3:B$12,$B222)))&gt;0</f>
        <v>0</v>
      </c>
      <c r="I222" s="6" t="b">
        <f>SUMPRODUCT(--ISNUMBER(SEARCH(CategoriesConfig!C$3:C$12,$B222)))&gt;0</f>
        <v>0</v>
      </c>
      <c r="J222" s="6" t="b">
        <f>SUMPRODUCT(--ISNUMBER(SEARCH(CategoriesConfig!D$3:D$12,$B222)))&gt;0</f>
        <v>0</v>
      </c>
      <c r="K222" s="6" t="b">
        <f>SUMPRODUCT(--ISNUMBER(SEARCH(CategoriesConfig!E$3:E$12,$B222)))&gt;0</f>
        <v>0</v>
      </c>
      <c r="L222" s="6" t="b">
        <f>SUMPRODUCT(--ISNUMBER(SEARCH(CategoriesConfig!F$3:F$12,$B222)))&gt;0</f>
        <v>0</v>
      </c>
      <c r="M222" s="6" t="b">
        <f>SUMPRODUCT(--ISNUMBER(SEARCH(CategoriesConfig!G$3:G$12,$B222)))&gt;0</f>
        <v>0</v>
      </c>
      <c r="N222" s="6" t="b">
        <f>SUMPRODUCT(--ISNUMBER(SEARCH(CategoriesConfig!H$3:H$12,$B222)))&gt;0</f>
        <v>0</v>
      </c>
      <c r="O222" s="6" t="b">
        <f>SUMPRODUCT(--ISNUMBER(SEARCH(CategoriesConfig!I$3:I$12,$B222)))&gt;0</f>
        <v>0</v>
      </c>
      <c r="P222" s="22" t="b">
        <f t="shared" si="9"/>
        <v>1</v>
      </c>
      <c r="Q222" s="22">
        <f t="shared" si="11"/>
        <v>7</v>
      </c>
      <c r="R222" s="2" t="s">
        <v>223</v>
      </c>
      <c r="S222" s="6" t="str">
        <f t="shared" si="10"/>
        <v>M</v>
      </c>
    </row>
    <row r="223" spans="1:19" ht="13.5" thickBot="1" x14ac:dyDescent="0.25">
      <c r="A223" s="4">
        <f>DATEVALUE(DataIn!A243)</f>
        <v>42924</v>
      </c>
      <c r="B223" s="5" t="str">
        <f>DataIn!B243</f>
        <v>POS 512967XXXXXX4422 CELEBRATIONS, POS DEBIT</v>
      </c>
      <c r="C223" s="5" t="str">
        <f>DataIn!C243</f>
        <v>0000000000018983</v>
      </c>
      <c r="D223" s="5" t="str">
        <f>DataIn!D243</f>
        <v>08/07/17</v>
      </c>
      <c r="E223" s="5">
        <f>DataIn!E243</f>
        <v>94</v>
      </c>
      <c r="F223" s="5">
        <f>DataIn!F243</f>
        <v>0</v>
      </c>
      <c r="G223" s="5">
        <f>DataIn!G243</f>
        <v>69580.34</v>
      </c>
      <c r="H223" s="6" t="b">
        <f>SUMPRODUCT(--ISNUMBER(SEARCH(CategoriesConfig!B$3:B$12,$B223)))&gt;0</f>
        <v>0</v>
      </c>
      <c r="I223" s="6" t="b">
        <f>SUMPRODUCT(--ISNUMBER(SEARCH(CategoriesConfig!C$3:C$12,$B223)))&gt;0</f>
        <v>0</v>
      </c>
      <c r="J223" s="6" t="b">
        <f>SUMPRODUCT(--ISNUMBER(SEARCH(CategoriesConfig!D$3:D$12,$B223)))&gt;0</f>
        <v>1</v>
      </c>
      <c r="K223" s="6" t="b">
        <f>SUMPRODUCT(--ISNUMBER(SEARCH(CategoriesConfig!E$3:E$12,$B223)))&gt;0</f>
        <v>0</v>
      </c>
      <c r="L223" s="6" t="b">
        <f>SUMPRODUCT(--ISNUMBER(SEARCH(CategoriesConfig!F$3:F$12,$B223)))&gt;0</f>
        <v>0</v>
      </c>
      <c r="M223" s="6" t="b">
        <f>SUMPRODUCT(--ISNUMBER(SEARCH(CategoriesConfig!G$3:G$12,$B223)))&gt;0</f>
        <v>0</v>
      </c>
      <c r="N223" s="6" t="b">
        <f>SUMPRODUCT(--ISNUMBER(SEARCH(CategoriesConfig!H$3:H$12,$B223)))&gt;0</f>
        <v>0</v>
      </c>
      <c r="O223" s="6" t="b">
        <f>SUMPRODUCT(--ISNUMBER(SEARCH(CategoriesConfig!I$3:I$12,$B223)))&gt;0</f>
        <v>0</v>
      </c>
      <c r="P223" s="22" t="b">
        <f t="shared" si="9"/>
        <v>0</v>
      </c>
      <c r="Q223" s="22">
        <f t="shared" si="11"/>
        <v>7</v>
      </c>
      <c r="S223" s="6" t="str">
        <f t="shared" si="10"/>
        <v>L</v>
      </c>
    </row>
    <row r="224" spans="1:19" ht="13.5" thickBot="1" x14ac:dyDescent="0.25">
      <c r="A224" s="4">
        <f>DATEVALUE(DataIn!A244)</f>
        <v>42924</v>
      </c>
      <c r="B224" s="5" t="str">
        <f>DataIn!B244</f>
        <v>POS 512967XXXXXX4422 ZES*UBER INDIA S POS DEBIT</v>
      </c>
      <c r="C224" s="5" t="str">
        <f>DataIn!C244</f>
        <v>0000718900152264</v>
      </c>
      <c r="D224" s="5" t="str">
        <f>DataIn!D244</f>
        <v>08/07/17</v>
      </c>
      <c r="E224" s="5">
        <f>DataIn!E244</f>
        <v>171.28</v>
      </c>
      <c r="F224" s="5">
        <f>DataIn!F244</f>
        <v>0</v>
      </c>
      <c r="G224" s="5">
        <f>DataIn!G244</f>
        <v>69409.06</v>
      </c>
      <c r="H224" s="6" t="b">
        <f>SUMPRODUCT(--ISNUMBER(SEARCH(CategoriesConfig!B$3:B$12,$B224)))&gt;0</f>
        <v>0</v>
      </c>
      <c r="I224" s="6" t="b">
        <f>SUMPRODUCT(--ISNUMBER(SEARCH(CategoriesConfig!C$3:C$12,$B224)))&gt;0</f>
        <v>1</v>
      </c>
      <c r="J224" s="6" t="b">
        <f>SUMPRODUCT(--ISNUMBER(SEARCH(CategoriesConfig!D$3:D$12,$B224)))&gt;0</f>
        <v>0</v>
      </c>
      <c r="K224" s="6" t="b">
        <f>SUMPRODUCT(--ISNUMBER(SEARCH(CategoriesConfig!E$3:E$12,$B224)))&gt;0</f>
        <v>0</v>
      </c>
      <c r="L224" s="6" t="b">
        <f>SUMPRODUCT(--ISNUMBER(SEARCH(CategoriesConfig!F$3:F$12,$B224)))&gt;0</f>
        <v>0</v>
      </c>
      <c r="M224" s="6" t="b">
        <f>SUMPRODUCT(--ISNUMBER(SEARCH(CategoriesConfig!G$3:G$12,$B224)))&gt;0</f>
        <v>0</v>
      </c>
      <c r="N224" s="6" t="b">
        <f>SUMPRODUCT(--ISNUMBER(SEARCH(CategoriesConfig!H$3:H$12,$B224)))&gt;0</f>
        <v>0</v>
      </c>
      <c r="O224" s="6" t="b">
        <f>SUMPRODUCT(--ISNUMBER(SEARCH(CategoriesConfig!I$3:I$12,$B224)))&gt;0</f>
        <v>0</v>
      </c>
      <c r="P224" s="22" t="b">
        <f t="shared" si="9"/>
        <v>0</v>
      </c>
      <c r="Q224" s="22">
        <f t="shared" si="11"/>
        <v>7</v>
      </c>
      <c r="S224" s="6" t="str">
        <f t="shared" si="10"/>
        <v>U</v>
      </c>
    </row>
    <row r="225" spans="1:19" ht="13.5" thickBot="1" x14ac:dyDescent="0.25">
      <c r="A225" s="4">
        <f>DATEVALUE(DataIn!A245)</f>
        <v>42924</v>
      </c>
      <c r="B225" s="5" t="str">
        <f>DataIn!B245</f>
        <v>POS 512967XXXXXX4422 MUNI WINES POS DEBIT</v>
      </c>
      <c r="C225" s="5" t="str">
        <f>DataIn!C245</f>
        <v>0000000000526939</v>
      </c>
      <c r="D225" s="5" t="str">
        <f>DataIn!D245</f>
        <v>08/07/17</v>
      </c>
      <c r="E225" s="5">
        <f>DataIn!E245</f>
        <v>740</v>
      </c>
      <c r="F225" s="5">
        <f>DataIn!F245</f>
        <v>0</v>
      </c>
      <c r="G225" s="5">
        <f>DataIn!G245</f>
        <v>68669.06</v>
      </c>
      <c r="H225" s="6" t="b">
        <f>SUMPRODUCT(--ISNUMBER(SEARCH(CategoriesConfig!B$3:B$12,$B225)))&gt;0</f>
        <v>0</v>
      </c>
      <c r="I225" s="6" t="b">
        <f>SUMPRODUCT(--ISNUMBER(SEARCH(CategoriesConfig!C$3:C$12,$B225)))&gt;0</f>
        <v>0</v>
      </c>
      <c r="J225" s="6" t="b">
        <f>SUMPRODUCT(--ISNUMBER(SEARCH(CategoriesConfig!D$3:D$12,$B225)))&gt;0</f>
        <v>0</v>
      </c>
      <c r="K225" s="6" t="b">
        <f>SUMPRODUCT(--ISNUMBER(SEARCH(CategoriesConfig!E$3:E$12,$B225)))&gt;0</f>
        <v>0</v>
      </c>
      <c r="L225" s="6" t="b">
        <f>SUMPRODUCT(--ISNUMBER(SEARCH(CategoriesConfig!F$3:F$12,$B225)))&gt;0</f>
        <v>1</v>
      </c>
      <c r="M225" s="6" t="b">
        <f>SUMPRODUCT(--ISNUMBER(SEARCH(CategoriesConfig!G$3:G$12,$B225)))&gt;0</f>
        <v>0</v>
      </c>
      <c r="N225" s="6" t="b">
        <f>SUMPRODUCT(--ISNUMBER(SEARCH(CategoriesConfig!H$3:H$12,$B225)))&gt;0</f>
        <v>0</v>
      </c>
      <c r="O225" s="6" t="b">
        <f>SUMPRODUCT(--ISNUMBER(SEARCH(CategoriesConfig!I$3:I$12,$B225)))&gt;0</f>
        <v>0</v>
      </c>
      <c r="P225" s="22" t="b">
        <f t="shared" si="9"/>
        <v>0</v>
      </c>
      <c r="Q225" s="22">
        <f t="shared" si="11"/>
        <v>7</v>
      </c>
      <c r="S225" s="6" t="str">
        <f t="shared" si="10"/>
        <v>F</v>
      </c>
    </row>
    <row r="226" spans="1:19" ht="13.5" thickBot="1" x14ac:dyDescent="0.25">
      <c r="A226" s="4">
        <f>DATEVALUE(DataIn!A246)</f>
        <v>42924</v>
      </c>
      <c r="B226" s="5" t="str">
        <f>DataIn!B246</f>
        <v>POS 512967XXXXXX4422 ZES*UBER INDIA S POS DEBIT</v>
      </c>
      <c r="C226" s="5" t="str">
        <f>DataIn!C246</f>
        <v>0000718940263960</v>
      </c>
      <c r="D226" s="5" t="str">
        <f>DataIn!D246</f>
        <v>08/07/17</v>
      </c>
      <c r="E226" s="5">
        <f>DataIn!E246</f>
        <v>195.14</v>
      </c>
      <c r="F226" s="5">
        <f>DataIn!F246</f>
        <v>0</v>
      </c>
      <c r="G226" s="5">
        <f>DataIn!G246</f>
        <v>68473.919999999998</v>
      </c>
      <c r="H226" s="6" t="b">
        <f>SUMPRODUCT(--ISNUMBER(SEARCH(CategoriesConfig!B$3:B$12,$B226)))&gt;0</f>
        <v>0</v>
      </c>
      <c r="I226" s="6" t="b">
        <f>SUMPRODUCT(--ISNUMBER(SEARCH(CategoriesConfig!C$3:C$12,$B226)))&gt;0</f>
        <v>1</v>
      </c>
      <c r="J226" s="6" t="b">
        <f>SUMPRODUCT(--ISNUMBER(SEARCH(CategoriesConfig!D$3:D$12,$B226)))&gt;0</f>
        <v>0</v>
      </c>
      <c r="K226" s="6" t="b">
        <f>SUMPRODUCT(--ISNUMBER(SEARCH(CategoriesConfig!E$3:E$12,$B226)))&gt;0</f>
        <v>0</v>
      </c>
      <c r="L226" s="6" t="b">
        <f>SUMPRODUCT(--ISNUMBER(SEARCH(CategoriesConfig!F$3:F$12,$B226)))&gt;0</f>
        <v>0</v>
      </c>
      <c r="M226" s="6" t="b">
        <f>SUMPRODUCT(--ISNUMBER(SEARCH(CategoriesConfig!G$3:G$12,$B226)))&gt;0</f>
        <v>0</v>
      </c>
      <c r="N226" s="6" t="b">
        <f>SUMPRODUCT(--ISNUMBER(SEARCH(CategoriesConfig!H$3:H$12,$B226)))&gt;0</f>
        <v>0</v>
      </c>
      <c r="O226" s="6" t="b">
        <f>SUMPRODUCT(--ISNUMBER(SEARCH(CategoriesConfig!I$3:I$12,$B226)))&gt;0</f>
        <v>0</v>
      </c>
      <c r="P226" s="22" t="b">
        <f t="shared" si="9"/>
        <v>0</v>
      </c>
      <c r="Q226" s="22">
        <f t="shared" si="11"/>
        <v>7</v>
      </c>
      <c r="S226" s="6" t="str">
        <f t="shared" si="10"/>
        <v>U</v>
      </c>
    </row>
    <row r="227" spans="1:19" ht="13.5" thickBot="1" x14ac:dyDescent="0.25">
      <c r="A227" s="4">
        <f>DATEVALUE(DataIn!A247)</f>
        <v>42925</v>
      </c>
      <c r="B227" s="5" t="str">
        <f>DataIn!B247</f>
        <v>POS 512967XXXXXX4422 FINE FOOD AND POS DEBIT</v>
      </c>
      <c r="C227" s="5" t="str">
        <f>DataIn!C247</f>
        <v>0000000000008443</v>
      </c>
      <c r="D227" s="5" t="str">
        <f>DataIn!D247</f>
        <v>09/07/17</v>
      </c>
      <c r="E227" s="5">
        <f>DataIn!E247</f>
        <v>902</v>
      </c>
      <c r="F227" s="5">
        <f>DataIn!F247</f>
        <v>0</v>
      </c>
      <c r="G227" s="5">
        <f>DataIn!G247</f>
        <v>67571.92</v>
      </c>
      <c r="H227" s="6" t="b">
        <f>SUMPRODUCT(--ISNUMBER(SEARCH(CategoriesConfig!B$3:B$12,$B227)))&gt;0</f>
        <v>0</v>
      </c>
      <c r="I227" s="6" t="b">
        <f>SUMPRODUCT(--ISNUMBER(SEARCH(CategoriesConfig!C$3:C$12,$B227)))&gt;0</f>
        <v>0</v>
      </c>
      <c r="J227" s="6" t="b">
        <f>SUMPRODUCT(--ISNUMBER(SEARCH(CategoriesConfig!D$3:D$12,$B227)))&gt;0</f>
        <v>0</v>
      </c>
      <c r="K227" s="6" t="b">
        <f>SUMPRODUCT(--ISNUMBER(SEARCH(CategoriesConfig!E$3:E$12,$B227)))&gt;0</f>
        <v>0</v>
      </c>
      <c r="L227" s="6" t="b">
        <f>SUMPRODUCT(--ISNUMBER(SEARCH(CategoriesConfig!F$3:F$12,$B227)))&gt;0</f>
        <v>0</v>
      </c>
      <c r="M227" s="6" t="b">
        <f>SUMPRODUCT(--ISNUMBER(SEARCH(CategoriesConfig!G$3:G$12,$B227)))&gt;0</f>
        <v>0</v>
      </c>
      <c r="N227" s="6" t="b">
        <f>SUMPRODUCT(--ISNUMBER(SEARCH(CategoriesConfig!H$3:H$12,$B227)))&gt;0</f>
        <v>0</v>
      </c>
      <c r="O227" s="6" t="b">
        <f>SUMPRODUCT(--ISNUMBER(SEARCH(CategoriesConfig!I$3:I$12,$B227)))&gt;0</f>
        <v>0</v>
      </c>
      <c r="P227" s="22" t="b">
        <f t="shared" si="9"/>
        <v>1</v>
      </c>
      <c r="Q227" s="22">
        <f t="shared" si="11"/>
        <v>7</v>
      </c>
      <c r="R227" s="2" t="s">
        <v>221</v>
      </c>
      <c r="S227" s="6" t="str">
        <f t="shared" si="10"/>
        <v>F</v>
      </c>
    </row>
    <row r="228" spans="1:19" ht="13.5" thickBot="1" x14ac:dyDescent="0.25">
      <c r="A228" s="4">
        <f>DATEVALUE(DataIn!A248)</f>
        <v>42925</v>
      </c>
      <c r="B228" s="5" t="str">
        <f>DataIn!B248</f>
        <v>POS 512967XXXXXX4422 ZES*UBER INDIA S POS DEBIT</v>
      </c>
      <c r="C228" s="5" t="str">
        <f>DataIn!C248</f>
        <v>0000719060006109</v>
      </c>
      <c r="D228" s="5" t="str">
        <f>DataIn!D248</f>
        <v>09/07/17</v>
      </c>
      <c r="E228" s="5">
        <f>DataIn!E248</f>
        <v>120.35</v>
      </c>
      <c r="F228" s="5">
        <f>DataIn!F248</f>
        <v>0</v>
      </c>
      <c r="G228" s="5">
        <f>DataIn!G248</f>
        <v>67451.570000000007</v>
      </c>
      <c r="H228" s="6" t="b">
        <f>SUMPRODUCT(--ISNUMBER(SEARCH(CategoriesConfig!B$3:B$12,$B228)))&gt;0</f>
        <v>0</v>
      </c>
      <c r="I228" s="6" t="b">
        <f>SUMPRODUCT(--ISNUMBER(SEARCH(CategoriesConfig!C$3:C$12,$B228)))&gt;0</f>
        <v>1</v>
      </c>
      <c r="J228" s="6" t="b">
        <f>SUMPRODUCT(--ISNUMBER(SEARCH(CategoriesConfig!D$3:D$12,$B228)))&gt;0</f>
        <v>0</v>
      </c>
      <c r="K228" s="6" t="b">
        <f>SUMPRODUCT(--ISNUMBER(SEARCH(CategoriesConfig!E$3:E$12,$B228)))&gt;0</f>
        <v>0</v>
      </c>
      <c r="L228" s="6" t="b">
        <f>SUMPRODUCT(--ISNUMBER(SEARCH(CategoriesConfig!F$3:F$12,$B228)))&gt;0</f>
        <v>0</v>
      </c>
      <c r="M228" s="6" t="b">
        <f>SUMPRODUCT(--ISNUMBER(SEARCH(CategoriesConfig!G$3:G$12,$B228)))&gt;0</f>
        <v>0</v>
      </c>
      <c r="N228" s="6" t="b">
        <f>SUMPRODUCT(--ISNUMBER(SEARCH(CategoriesConfig!H$3:H$12,$B228)))&gt;0</f>
        <v>0</v>
      </c>
      <c r="O228" s="6" t="b">
        <f>SUMPRODUCT(--ISNUMBER(SEARCH(CategoriesConfig!I$3:I$12,$B228)))&gt;0</f>
        <v>0</v>
      </c>
      <c r="P228" s="22" t="b">
        <f t="shared" si="9"/>
        <v>0</v>
      </c>
      <c r="Q228" s="22">
        <f t="shared" si="11"/>
        <v>7</v>
      </c>
      <c r="S228" s="6" t="str">
        <f t="shared" si="10"/>
        <v>U</v>
      </c>
    </row>
    <row r="229" spans="1:19" ht="13.5" thickBot="1" x14ac:dyDescent="0.25">
      <c r="A229" s="4">
        <f>DATEVALUE(DataIn!A249)</f>
        <v>42925</v>
      </c>
      <c r="B229" s="5" t="str">
        <f>DataIn!B249</f>
        <v>POS 512967XXXXXX4422 ZES*UBER INDIA S POS DEBIT</v>
      </c>
      <c r="C229" s="5" t="str">
        <f>DataIn!C249</f>
        <v>0000719000007180</v>
      </c>
      <c r="D229" s="5" t="str">
        <f>DataIn!D249</f>
        <v>09/07/17</v>
      </c>
      <c r="E229" s="5">
        <f>DataIn!E249</f>
        <v>300.63</v>
      </c>
      <c r="F229" s="5">
        <f>DataIn!F249</f>
        <v>0</v>
      </c>
      <c r="G229" s="5">
        <f>DataIn!G249</f>
        <v>67150.94</v>
      </c>
      <c r="H229" s="6" t="b">
        <f>SUMPRODUCT(--ISNUMBER(SEARCH(CategoriesConfig!B$3:B$12,$B229)))&gt;0</f>
        <v>0</v>
      </c>
      <c r="I229" s="6" t="b">
        <f>SUMPRODUCT(--ISNUMBER(SEARCH(CategoriesConfig!C$3:C$12,$B229)))&gt;0</f>
        <v>1</v>
      </c>
      <c r="J229" s="6" t="b">
        <f>SUMPRODUCT(--ISNUMBER(SEARCH(CategoriesConfig!D$3:D$12,$B229)))&gt;0</f>
        <v>0</v>
      </c>
      <c r="K229" s="6" t="b">
        <f>SUMPRODUCT(--ISNUMBER(SEARCH(CategoriesConfig!E$3:E$12,$B229)))&gt;0</f>
        <v>0</v>
      </c>
      <c r="L229" s="6" t="b">
        <f>SUMPRODUCT(--ISNUMBER(SEARCH(CategoriesConfig!F$3:F$12,$B229)))&gt;0</f>
        <v>0</v>
      </c>
      <c r="M229" s="6" t="b">
        <f>SUMPRODUCT(--ISNUMBER(SEARCH(CategoriesConfig!G$3:G$12,$B229)))&gt;0</f>
        <v>0</v>
      </c>
      <c r="N229" s="6" t="b">
        <f>SUMPRODUCT(--ISNUMBER(SEARCH(CategoriesConfig!H$3:H$12,$B229)))&gt;0</f>
        <v>0</v>
      </c>
      <c r="O229" s="6" t="b">
        <f>SUMPRODUCT(--ISNUMBER(SEARCH(CategoriesConfig!I$3:I$12,$B229)))&gt;0</f>
        <v>0</v>
      </c>
      <c r="P229" s="22" t="b">
        <f t="shared" si="9"/>
        <v>0</v>
      </c>
      <c r="Q229" s="22">
        <f t="shared" si="11"/>
        <v>7</v>
      </c>
      <c r="S229" s="6" t="str">
        <f t="shared" si="10"/>
        <v>U</v>
      </c>
    </row>
    <row r="230" spans="1:19" ht="13.5" thickBot="1" x14ac:dyDescent="0.25">
      <c r="A230" s="4">
        <f>DATEVALUE(DataIn!A250)</f>
        <v>42925</v>
      </c>
      <c r="B230" s="5" t="str">
        <f>DataIn!B250</f>
        <v>POS 512967XXXXXX4422 CAFE COFFEE DAY POS DEBIT</v>
      </c>
      <c r="C230" s="5" t="str">
        <f>DataIn!C250</f>
        <v>0000000000452730</v>
      </c>
      <c r="D230" s="5" t="str">
        <f>DataIn!D250</f>
        <v>09/07/17</v>
      </c>
      <c r="E230" s="5">
        <f>DataIn!E250</f>
        <v>130</v>
      </c>
      <c r="F230" s="5">
        <f>DataIn!F250</f>
        <v>0</v>
      </c>
      <c r="G230" s="5">
        <f>DataIn!G250</f>
        <v>67020.94</v>
      </c>
      <c r="H230" s="6" t="b">
        <f>SUMPRODUCT(--ISNUMBER(SEARCH(CategoriesConfig!B$3:B$12,$B230)))&gt;0</f>
        <v>0</v>
      </c>
      <c r="I230" s="6" t="b">
        <f>SUMPRODUCT(--ISNUMBER(SEARCH(CategoriesConfig!C$3:C$12,$B230)))&gt;0</f>
        <v>0</v>
      </c>
      <c r="J230" s="6" t="b">
        <f>SUMPRODUCT(--ISNUMBER(SEARCH(CategoriesConfig!D$3:D$12,$B230)))&gt;0</f>
        <v>0</v>
      </c>
      <c r="K230" s="6" t="b">
        <f>SUMPRODUCT(--ISNUMBER(SEARCH(CategoriesConfig!E$3:E$12,$B230)))&gt;0</f>
        <v>0</v>
      </c>
      <c r="L230" s="6" t="b">
        <f>SUMPRODUCT(--ISNUMBER(SEARCH(CategoriesConfig!F$3:F$12,$B230)))&gt;0</f>
        <v>1</v>
      </c>
      <c r="M230" s="6" t="b">
        <f>SUMPRODUCT(--ISNUMBER(SEARCH(CategoriesConfig!G$3:G$12,$B230)))&gt;0</f>
        <v>0</v>
      </c>
      <c r="N230" s="6" t="b">
        <f>SUMPRODUCT(--ISNUMBER(SEARCH(CategoriesConfig!H$3:H$12,$B230)))&gt;0</f>
        <v>0</v>
      </c>
      <c r="O230" s="6" t="b">
        <f>SUMPRODUCT(--ISNUMBER(SEARCH(CategoriesConfig!I$3:I$12,$B230)))&gt;0</f>
        <v>0</v>
      </c>
      <c r="P230" s="22" t="b">
        <f t="shared" si="9"/>
        <v>0</v>
      </c>
      <c r="Q230" s="22">
        <f t="shared" si="11"/>
        <v>7</v>
      </c>
      <c r="S230" s="6" t="str">
        <f t="shared" si="10"/>
        <v>F</v>
      </c>
    </row>
    <row r="231" spans="1:19" ht="13.5" thickBot="1" x14ac:dyDescent="0.25">
      <c r="A231" s="4">
        <f>DATEVALUE(DataIn!A251)</f>
        <v>42925</v>
      </c>
      <c r="B231" s="5" t="str">
        <f>DataIn!B251</f>
        <v>POS 512967XXXXXX4422 ZES*UBER INDIA S POS DEBIT</v>
      </c>
      <c r="C231" s="5" t="str">
        <f>DataIn!C251</f>
        <v>0000719040188230</v>
      </c>
      <c r="D231" s="5" t="str">
        <f>DataIn!D251</f>
        <v>09/07/17</v>
      </c>
      <c r="E231" s="5">
        <f>DataIn!E251</f>
        <v>152.9</v>
      </c>
      <c r="F231" s="5">
        <f>DataIn!F251</f>
        <v>0</v>
      </c>
      <c r="G231" s="5">
        <f>DataIn!G251</f>
        <v>66868.039999999994</v>
      </c>
      <c r="H231" s="6" t="b">
        <f>SUMPRODUCT(--ISNUMBER(SEARCH(CategoriesConfig!B$3:B$12,$B231)))&gt;0</f>
        <v>0</v>
      </c>
      <c r="I231" s="6" t="b">
        <f>SUMPRODUCT(--ISNUMBER(SEARCH(CategoriesConfig!C$3:C$12,$B231)))&gt;0</f>
        <v>1</v>
      </c>
      <c r="J231" s="6" t="b">
        <f>SUMPRODUCT(--ISNUMBER(SEARCH(CategoriesConfig!D$3:D$12,$B231)))&gt;0</f>
        <v>0</v>
      </c>
      <c r="K231" s="6" t="b">
        <f>SUMPRODUCT(--ISNUMBER(SEARCH(CategoriesConfig!E$3:E$12,$B231)))&gt;0</f>
        <v>0</v>
      </c>
      <c r="L231" s="6" t="b">
        <f>SUMPRODUCT(--ISNUMBER(SEARCH(CategoriesConfig!F$3:F$12,$B231)))&gt;0</f>
        <v>0</v>
      </c>
      <c r="M231" s="6" t="b">
        <f>SUMPRODUCT(--ISNUMBER(SEARCH(CategoriesConfig!G$3:G$12,$B231)))&gt;0</f>
        <v>0</v>
      </c>
      <c r="N231" s="6" t="b">
        <f>SUMPRODUCT(--ISNUMBER(SEARCH(CategoriesConfig!H$3:H$12,$B231)))&gt;0</f>
        <v>0</v>
      </c>
      <c r="O231" s="6" t="b">
        <f>SUMPRODUCT(--ISNUMBER(SEARCH(CategoriesConfig!I$3:I$12,$B231)))&gt;0</f>
        <v>0</v>
      </c>
      <c r="P231" s="22" t="b">
        <f t="shared" si="9"/>
        <v>0</v>
      </c>
      <c r="Q231" s="22">
        <f t="shared" si="11"/>
        <v>7</v>
      </c>
      <c r="S231" s="6" t="str">
        <f t="shared" si="10"/>
        <v>U</v>
      </c>
    </row>
    <row r="232" spans="1:19" ht="13.5" thickBot="1" x14ac:dyDescent="0.25">
      <c r="A232" s="4">
        <f>DATEVALUE(DataIn!A252)</f>
        <v>42926</v>
      </c>
      <c r="B232" s="5" t="str">
        <f>DataIn!B252</f>
        <v>POS 512967XXXXXX4422 ZES*UBER INDIA S POS DEBIT</v>
      </c>
      <c r="C232" s="5" t="str">
        <f>DataIn!C252</f>
        <v>0000719100022844</v>
      </c>
      <c r="D232" s="5" t="str">
        <f>DataIn!D252</f>
        <v>10/07/17</v>
      </c>
      <c r="E232" s="5">
        <f>DataIn!E252</f>
        <v>22.95</v>
      </c>
      <c r="F232" s="5">
        <f>DataIn!F252</f>
        <v>0</v>
      </c>
      <c r="G232" s="5">
        <f>DataIn!G252</f>
        <v>66845.09</v>
      </c>
      <c r="H232" s="6" t="b">
        <f>SUMPRODUCT(--ISNUMBER(SEARCH(CategoriesConfig!B$3:B$12,$B232)))&gt;0</f>
        <v>0</v>
      </c>
      <c r="I232" s="6" t="b">
        <f>SUMPRODUCT(--ISNUMBER(SEARCH(CategoriesConfig!C$3:C$12,$B232)))&gt;0</f>
        <v>1</v>
      </c>
      <c r="J232" s="6" t="b">
        <f>SUMPRODUCT(--ISNUMBER(SEARCH(CategoriesConfig!D$3:D$12,$B232)))&gt;0</f>
        <v>0</v>
      </c>
      <c r="K232" s="6" t="b">
        <f>SUMPRODUCT(--ISNUMBER(SEARCH(CategoriesConfig!E$3:E$12,$B232)))&gt;0</f>
        <v>0</v>
      </c>
      <c r="L232" s="6" t="b">
        <f>SUMPRODUCT(--ISNUMBER(SEARCH(CategoriesConfig!F$3:F$12,$B232)))&gt;0</f>
        <v>0</v>
      </c>
      <c r="M232" s="6" t="b">
        <f>SUMPRODUCT(--ISNUMBER(SEARCH(CategoriesConfig!G$3:G$12,$B232)))&gt;0</f>
        <v>0</v>
      </c>
      <c r="N232" s="6" t="b">
        <f>SUMPRODUCT(--ISNUMBER(SEARCH(CategoriesConfig!H$3:H$12,$B232)))&gt;0</f>
        <v>0</v>
      </c>
      <c r="O232" s="6" t="b">
        <f>SUMPRODUCT(--ISNUMBER(SEARCH(CategoriesConfig!I$3:I$12,$B232)))&gt;0</f>
        <v>0</v>
      </c>
      <c r="P232" s="22" t="b">
        <f t="shared" si="9"/>
        <v>0</v>
      </c>
      <c r="Q232" s="22">
        <f t="shared" si="11"/>
        <v>7</v>
      </c>
      <c r="S232" s="6" t="str">
        <f t="shared" si="10"/>
        <v>U</v>
      </c>
    </row>
    <row r="233" spans="1:19" ht="13.5" thickBot="1" x14ac:dyDescent="0.25">
      <c r="A233" s="4">
        <f>DATEVALUE(DataIn!A253)</f>
        <v>42926</v>
      </c>
      <c r="B233" s="5" t="str">
        <f>DataIn!B253</f>
        <v>POS 512967XXXXXX4422 CELEBRATIONS, POS DEBIT</v>
      </c>
      <c r="C233" s="5" t="str">
        <f>DataIn!C253</f>
        <v>0000000000019128</v>
      </c>
      <c r="D233" s="5" t="str">
        <f>DataIn!D253</f>
        <v>10/07/17</v>
      </c>
      <c r="E233" s="5">
        <f>DataIn!E253</f>
        <v>94</v>
      </c>
      <c r="F233" s="5">
        <f>DataIn!F253</f>
        <v>0</v>
      </c>
      <c r="G233" s="5">
        <f>DataIn!G253</f>
        <v>66751.09</v>
      </c>
      <c r="H233" s="6" t="b">
        <f>SUMPRODUCT(--ISNUMBER(SEARCH(CategoriesConfig!B$3:B$12,$B233)))&gt;0</f>
        <v>0</v>
      </c>
      <c r="I233" s="6" t="b">
        <f>SUMPRODUCT(--ISNUMBER(SEARCH(CategoriesConfig!C$3:C$12,$B233)))&gt;0</f>
        <v>0</v>
      </c>
      <c r="J233" s="6" t="b">
        <f>SUMPRODUCT(--ISNUMBER(SEARCH(CategoriesConfig!D$3:D$12,$B233)))&gt;0</f>
        <v>1</v>
      </c>
      <c r="K233" s="6" t="b">
        <f>SUMPRODUCT(--ISNUMBER(SEARCH(CategoriesConfig!E$3:E$12,$B233)))&gt;0</f>
        <v>0</v>
      </c>
      <c r="L233" s="6" t="b">
        <f>SUMPRODUCT(--ISNUMBER(SEARCH(CategoriesConfig!F$3:F$12,$B233)))&gt;0</f>
        <v>0</v>
      </c>
      <c r="M233" s="6" t="b">
        <f>SUMPRODUCT(--ISNUMBER(SEARCH(CategoriesConfig!G$3:G$12,$B233)))&gt;0</f>
        <v>0</v>
      </c>
      <c r="N233" s="6" t="b">
        <f>SUMPRODUCT(--ISNUMBER(SEARCH(CategoriesConfig!H$3:H$12,$B233)))&gt;0</f>
        <v>0</v>
      </c>
      <c r="O233" s="6" t="b">
        <f>SUMPRODUCT(--ISNUMBER(SEARCH(CategoriesConfig!I$3:I$12,$B233)))&gt;0</f>
        <v>0</v>
      </c>
      <c r="P233" s="22" t="b">
        <f t="shared" si="9"/>
        <v>0</v>
      </c>
      <c r="Q233" s="22">
        <f t="shared" si="11"/>
        <v>7</v>
      </c>
      <c r="S233" s="6" t="str">
        <f t="shared" si="10"/>
        <v>L</v>
      </c>
    </row>
    <row r="234" spans="1:19" ht="13.5" thickBot="1" x14ac:dyDescent="0.25">
      <c r="A234" s="4">
        <f>DATEVALUE(DataIn!A254)</f>
        <v>42926</v>
      </c>
      <c r="B234" s="5" t="str">
        <f>DataIn!B254</f>
        <v>NWD-512967XXXXXX4422-VD103802-BANGALORE</v>
      </c>
      <c r="C234" s="5" t="str">
        <f>DataIn!C254</f>
        <v>0000719121163378</v>
      </c>
      <c r="D234" s="5" t="str">
        <f>DataIn!D254</f>
        <v>10/07/17</v>
      </c>
      <c r="E234" s="5">
        <f>DataIn!E254</f>
        <v>1000</v>
      </c>
      <c r="F234" s="5">
        <f>DataIn!F254</f>
        <v>0</v>
      </c>
      <c r="G234" s="5">
        <f>DataIn!G254</f>
        <v>65751.09</v>
      </c>
      <c r="H234" s="6" t="b">
        <f>SUMPRODUCT(--ISNUMBER(SEARCH(CategoriesConfig!B$3:B$12,$B234)))&gt;0</f>
        <v>0</v>
      </c>
      <c r="I234" s="6" t="b">
        <f>SUMPRODUCT(--ISNUMBER(SEARCH(CategoriesConfig!C$3:C$12,$B234)))&gt;0</f>
        <v>0</v>
      </c>
      <c r="J234" s="6" t="b">
        <f>SUMPRODUCT(--ISNUMBER(SEARCH(CategoriesConfig!D$3:D$12,$B234)))&gt;0</f>
        <v>0</v>
      </c>
      <c r="K234" s="6" t="b">
        <f>SUMPRODUCT(--ISNUMBER(SEARCH(CategoriesConfig!E$3:E$12,$B234)))&gt;0</f>
        <v>0</v>
      </c>
      <c r="L234" s="6" t="b">
        <f>SUMPRODUCT(--ISNUMBER(SEARCH(CategoriesConfig!F$3:F$12,$B234)))&gt;0</f>
        <v>0</v>
      </c>
      <c r="M234" s="6" t="b">
        <f>SUMPRODUCT(--ISNUMBER(SEARCH(CategoriesConfig!G$3:G$12,$B234)))&gt;0</f>
        <v>0</v>
      </c>
      <c r="N234" s="6" t="b">
        <f>SUMPRODUCT(--ISNUMBER(SEARCH(CategoriesConfig!H$3:H$12,$B234)))&gt;0</f>
        <v>1</v>
      </c>
      <c r="O234" s="6" t="b">
        <f>SUMPRODUCT(--ISNUMBER(SEARCH(CategoriesConfig!I$3:I$12,$B234)))&gt;0</f>
        <v>0</v>
      </c>
      <c r="P234" s="22" t="b">
        <f t="shared" si="9"/>
        <v>0</v>
      </c>
      <c r="Q234" s="22">
        <f t="shared" si="11"/>
        <v>7</v>
      </c>
      <c r="S234" s="6" t="str">
        <f t="shared" si="10"/>
        <v>C</v>
      </c>
    </row>
    <row r="235" spans="1:19" ht="13.5" thickBot="1" x14ac:dyDescent="0.25">
      <c r="A235" s="4">
        <f>DATEVALUE(DataIn!A255)</f>
        <v>42927</v>
      </c>
      <c r="B235" s="5" t="str">
        <f>DataIn!B255</f>
        <v>POS 512967XXXXXX4422 ZES*UBER INDIA S POS DEBIT</v>
      </c>
      <c r="C235" s="5" t="str">
        <f>DataIn!C255</f>
        <v>0000719240062072</v>
      </c>
      <c r="D235" s="5" t="str">
        <f>DataIn!D255</f>
        <v>11/07/17</v>
      </c>
      <c r="E235" s="5">
        <f>DataIn!E255</f>
        <v>174.24</v>
      </c>
      <c r="F235" s="5">
        <f>DataIn!F255</f>
        <v>0</v>
      </c>
      <c r="G235" s="5">
        <f>DataIn!G255</f>
        <v>65576.850000000006</v>
      </c>
      <c r="H235" s="6" t="b">
        <f>SUMPRODUCT(--ISNUMBER(SEARCH(CategoriesConfig!B$3:B$12,$B235)))&gt;0</f>
        <v>0</v>
      </c>
      <c r="I235" s="6" t="b">
        <f>SUMPRODUCT(--ISNUMBER(SEARCH(CategoriesConfig!C$3:C$12,$B235)))&gt;0</f>
        <v>1</v>
      </c>
      <c r="J235" s="6" t="b">
        <f>SUMPRODUCT(--ISNUMBER(SEARCH(CategoriesConfig!D$3:D$12,$B235)))&gt;0</f>
        <v>0</v>
      </c>
      <c r="K235" s="6" t="b">
        <f>SUMPRODUCT(--ISNUMBER(SEARCH(CategoriesConfig!E$3:E$12,$B235)))&gt;0</f>
        <v>0</v>
      </c>
      <c r="L235" s="6" t="b">
        <f>SUMPRODUCT(--ISNUMBER(SEARCH(CategoriesConfig!F$3:F$12,$B235)))&gt;0</f>
        <v>0</v>
      </c>
      <c r="M235" s="6" t="b">
        <f>SUMPRODUCT(--ISNUMBER(SEARCH(CategoriesConfig!G$3:G$12,$B235)))&gt;0</f>
        <v>0</v>
      </c>
      <c r="N235" s="6" t="b">
        <f>SUMPRODUCT(--ISNUMBER(SEARCH(CategoriesConfig!H$3:H$12,$B235)))&gt;0</f>
        <v>0</v>
      </c>
      <c r="O235" s="6" t="b">
        <f>SUMPRODUCT(--ISNUMBER(SEARCH(CategoriesConfig!I$3:I$12,$B235)))&gt;0</f>
        <v>0</v>
      </c>
      <c r="P235" s="22" t="b">
        <f t="shared" ref="P235:P245" si="12">IF(SUMIF(H235:O235,"TRUE",H$1:O$1)=0,TRUE,FALSE)</f>
        <v>0</v>
      </c>
      <c r="Q235" s="22">
        <f t="shared" si="11"/>
        <v>7</v>
      </c>
      <c r="S235" s="6" t="str">
        <f t="shared" si="10"/>
        <v>U</v>
      </c>
    </row>
    <row r="236" spans="1:19" ht="13.5" thickBot="1" x14ac:dyDescent="0.25">
      <c r="A236" s="4">
        <f>DATEVALUE(DataIn!A256)</f>
        <v>42928</v>
      </c>
      <c r="B236" s="5" t="str">
        <f>DataIn!B256</f>
        <v>POS 512967XXXXXX4422 CELEBRATIONS, POS DEBIT</v>
      </c>
      <c r="C236" s="5" t="str">
        <f>DataIn!C256</f>
        <v>0000000000019673</v>
      </c>
      <c r="D236" s="5" t="str">
        <f>DataIn!D256</f>
        <v>12/07/17</v>
      </c>
      <c r="E236" s="5">
        <f>DataIn!E256</f>
        <v>94</v>
      </c>
      <c r="F236" s="5">
        <f>DataIn!F256</f>
        <v>0</v>
      </c>
      <c r="G236" s="5">
        <f>DataIn!G256</f>
        <v>65482.85</v>
      </c>
      <c r="H236" s="6" t="b">
        <f>SUMPRODUCT(--ISNUMBER(SEARCH(CategoriesConfig!B$3:B$12,$B236)))&gt;0</f>
        <v>0</v>
      </c>
      <c r="I236" s="6" t="b">
        <f>SUMPRODUCT(--ISNUMBER(SEARCH(CategoriesConfig!C$3:C$12,$B236)))&gt;0</f>
        <v>0</v>
      </c>
      <c r="J236" s="6" t="b">
        <f>SUMPRODUCT(--ISNUMBER(SEARCH(CategoriesConfig!D$3:D$12,$B236)))&gt;0</f>
        <v>1</v>
      </c>
      <c r="K236" s="6" t="b">
        <f>SUMPRODUCT(--ISNUMBER(SEARCH(CategoriesConfig!E$3:E$12,$B236)))&gt;0</f>
        <v>0</v>
      </c>
      <c r="L236" s="6" t="b">
        <f>SUMPRODUCT(--ISNUMBER(SEARCH(CategoriesConfig!F$3:F$12,$B236)))&gt;0</f>
        <v>0</v>
      </c>
      <c r="M236" s="6" t="b">
        <f>SUMPRODUCT(--ISNUMBER(SEARCH(CategoriesConfig!G$3:G$12,$B236)))&gt;0</f>
        <v>0</v>
      </c>
      <c r="N236" s="6" t="b">
        <f>SUMPRODUCT(--ISNUMBER(SEARCH(CategoriesConfig!H$3:H$12,$B236)))&gt;0</f>
        <v>0</v>
      </c>
      <c r="O236" s="6" t="b">
        <f>SUMPRODUCT(--ISNUMBER(SEARCH(CategoriesConfig!I$3:I$12,$B236)))&gt;0</f>
        <v>0</v>
      </c>
      <c r="P236" s="22" t="b">
        <f t="shared" si="12"/>
        <v>0</v>
      </c>
      <c r="Q236" s="22">
        <f t="shared" si="11"/>
        <v>7</v>
      </c>
      <c r="S236" s="6" t="str">
        <f t="shared" si="10"/>
        <v>L</v>
      </c>
    </row>
    <row r="237" spans="1:19" ht="13.5" thickBot="1" x14ac:dyDescent="0.25">
      <c r="A237" s="4">
        <f>DATEVALUE(DataIn!A257)</f>
        <v>42929</v>
      </c>
      <c r="B237" s="5" t="str">
        <f>DataIn!B257</f>
        <v>POS 512967XXXXXX4422 ZES*UBER INDIA S POS DEBIT</v>
      </c>
      <c r="C237" s="5" t="str">
        <f>DataIn!C257</f>
        <v>0000719400016587</v>
      </c>
      <c r="D237" s="5" t="str">
        <f>DataIn!D257</f>
        <v>13/07/17</v>
      </c>
      <c r="E237" s="5">
        <f>DataIn!E257</f>
        <v>175.77</v>
      </c>
      <c r="F237" s="5">
        <f>DataIn!F257</f>
        <v>0</v>
      </c>
      <c r="G237" s="5">
        <f>DataIn!G257</f>
        <v>65307.08</v>
      </c>
      <c r="H237" s="6" t="b">
        <f>SUMPRODUCT(--ISNUMBER(SEARCH(CategoriesConfig!B$3:B$12,$B237)))&gt;0</f>
        <v>0</v>
      </c>
      <c r="I237" s="6" t="b">
        <f>SUMPRODUCT(--ISNUMBER(SEARCH(CategoriesConfig!C$3:C$12,$B237)))&gt;0</f>
        <v>1</v>
      </c>
      <c r="J237" s="6" t="b">
        <f>SUMPRODUCT(--ISNUMBER(SEARCH(CategoriesConfig!D$3:D$12,$B237)))&gt;0</f>
        <v>0</v>
      </c>
      <c r="K237" s="6" t="b">
        <f>SUMPRODUCT(--ISNUMBER(SEARCH(CategoriesConfig!E$3:E$12,$B237)))&gt;0</f>
        <v>0</v>
      </c>
      <c r="L237" s="6" t="b">
        <f>SUMPRODUCT(--ISNUMBER(SEARCH(CategoriesConfig!F$3:F$12,$B237)))&gt;0</f>
        <v>0</v>
      </c>
      <c r="M237" s="6" t="b">
        <f>SUMPRODUCT(--ISNUMBER(SEARCH(CategoriesConfig!G$3:G$12,$B237)))&gt;0</f>
        <v>0</v>
      </c>
      <c r="N237" s="6" t="b">
        <f>SUMPRODUCT(--ISNUMBER(SEARCH(CategoriesConfig!H$3:H$12,$B237)))&gt;0</f>
        <v>0</v>
      </c>
      <c r="O237" s="6" t="b">
        <f>SUMPRODUCT(--ISNUMBER(SEARCH(CategoriesConfig!I$3:I$12,$B237)))&gt;0</f>
        <v>0</v>
      </c>
      <c r="P237" s="22" t="b">
        <f t="shared" si="12"/>
        <v>0</v>
      </c>
      <c r="Q237" s="22">
        <f t="shared" si="11"/>
        <v>7</v>
      </c>
      <c r="S237" s="6" t="str">
        <f t="shared" si="10"/>
        <v>U</v>
      </c>
    </row>
    <row r="238" spans="1:19" ht="13.5" thickBot="1" x14ac:dyDescent="0.25">
      <c r="A238" s="4">
        <f>DATEVALUE(DataIn!A258)</f>
        <v>42929</v>
      </c>
      <c r="B238" s="5" t="str">
        <f>DataIn!B258</f>
        <v>POS 512967XXXXXX4422 CELEBRATIONS, POS DEBIT</v>
      </c>
      <c r="C238" s="5" t="str">
        <f>DataIn!C258</f>
        <v>0000000000019918</v>
      </c>
      <c r="D238" s="5" t="str">
        <f>DataIn!D258</f>
        <v>13/07/17</v>
      </c>
      <c r="E238" s="5">
        <f>DataIn!E258</f>
        <v>94</v>
      </c>
      <c r="F238" s="5">
        <f>DataIn!F258</f>
        <v>0</v>
      </c>
      <c r="G238" s="5">
        <f>DataIn!G258</f>
        <v>65213.08</v>
      </c>
      <c r="H238" s="6" t="b">
        <f>SUMPRODUCT(--ISNUMBER(SEARCH(CategoriesConfig!B$3:B$12,$B238)))&gt;0</f>
        <v>0</v>
      </c>
      <c r="I238" s="6" t="b">
        <f>SUMPRODUCT(--ISNUMBER(SEARCH(CategoriesConfig!C$3:C$12,$B238)))&gt;0</f>
        <v>0</v>
      </c>
      <c r="J238" s="6" t="b">
        <f>SUMPRODUCT(--ISNUMBER(SEARCH(CategoriesConfig!D$3:D$12,$B238)))&gt;0</f>
        <v>1</v>
      </c>
      <c r="K238" s="6" t="b">
        <f>SUMPRODUCT(--ISNUMBER(SEARCH(CategoriesConfig!E$3:E$12,$B238)))&gt;0</f>
        <v>0</v>
      </c>
      <c r="L238" s="6" t="b">
        <f>SUMPRODUCT(--ISNUMBER(SEARCH(CategoriesConfig!F$3:F$12,$B238)))&gt;0</f>
        <v>0</v>
      </c>
      <c r="M238" s="6" t="b">
        <f>SUMPRODUCT(--ISNUMBER(SEARCH(CategoriesConfig!G$3:G$12,$B238)))&gt;0</f>
        <v>0</v>
      </c>
      <c r="N238" s="6" t="b">
        <f>SUMPRODUCT(--ISNUMBER(SEARCH(CategoriesConfig!H$3:H$12,$B238)))&gt;0</f>
        <v>0</v>
      </c>
      <c r="O238" s="6" t="b">
        <f>SUMPRODUCT(--ISNUMBER(SEARCH(CategoriesConfig!I$3:I$12,$B238)))&gt;0</f>
        <v>0</v>
      </c>
      <c r="P238" s="22" t="b">
        <f t="shared" si="12"/>
        <v>0</v>
      </c>
      <c r="Q238" s="22">
        <f t="shared" si="11"/>
        <v>7</v>
      </c>
      <c r="S238" s="6" t="str">
        <f t="shared" si="10"/>
        <v>L</v>
      </c>
    </row>
    <row r="239" spans="1:19" ht="13.5" thickBot="1" x14ac:dyDescent="0.25">
      <c r="A239" s="4">
        <f>DATEVALUE(DataIn!A259)</f>
        <v>42929</v>
      </c>
      <c r="B239" s="5" t="str">
        <f>DataIn!B259</f>
        <v>POS 512967XXXXXX4422 ZES*UBER INDIA S POS DEBIT</v>
      </c>
      <c r="C239" s="5" t="str">
        <f>DataIn!C259</f>
        <v>0000719400153852</v>
      </c>
      <c r="D239" s="5" t="str">
        <f>DataIn!D259</f>
        <v>13/07/17</v>
      </c>
      <c r="E239" s="5">
        <f>DataIn!E259</f>
        <v>117.74</v>
      </c>
      <c r="F239" s="5">
        <f>DataIn!F259</f>
        <v>0</v>
      </c>
      <c r="G239" s="5">
        <f>DataIn!G259</f>
        <v>65095.34</v>
      </c>
      <c r="H239" s="6" t="b">
        <f>SUMPRODUCT(--ISNUMBER(SEARCH(CategoriesConfig!B$3:B$12,$B239)))&gt;0</f>
        <v>0</v>
      </c>
      <c r="I239" s="6" t="b">
        <f>SUMPRODUCT(--ISNUMBER(SEARCH(CategoriesConfig!C$3:C$12,$B239)))&gt;0</f>
        <v>1</v>
      </c>
      <c r="J239" s="6" t="b">
        <f>SUMPRODUCT(--ISNUMBER(SEARCH(CategoriesConfig!D$3:D$12,$B239)))&gt;0</f>
        <v>0</v>
      </c>
      <c r="K239" s="6" t="b">
        <f>SUMPRODUCT(--ISNUMBER(SEARCH(CategoriesConfig!E$3:E$12,$B239)))&gt;0</f>
        <v>0</v>
      </c>
      <c r="L239" s="6" t="b">
        <f>SUMPRODUCT(--ISNUMBER(SEARCH(CategoriesConfig!F$3:F$12,$B239)))&gt;0</f>
        <v>0</v>
      </c>
      <c r="M239" s="6" t="b">
        <f>SUMPRODUCT(--ISNUMBER(SEARCH(CategoriesConfig!G$3:G$12,$B239)))&gt;0</f>
        <v>0</v>
      </c>
      <c r="N239" s="6" t="b">
        <f>SUMPRODUCT(--ISNUMBER(SEARCH(CategoriesConfig!H$3:H$12,$B239)))&gt;0</f>
        <v>0</v>
      </c>
      <c r="O239" s="6" t="b">
        <f>SUMPRODUCT(--ISNUMBER(SEARCH(CategoriesConfig!I$3:I$12,$B239)))&gt;0</f>
        <v>0</v>
      </c>
      <c r="P239" s="22" t="b">
        <f t="shared" si="12"/>
        <v>0</v>
      </c>
      <c r="Q239" s="22">
        <f t="shared" si="11"/>
        <v>7</v>
      </c>
      <c r="S239" s="6" t="str">
        <f t="shared" si="10"/>
        <v>U</v>
      </c>
    </row>
    <row r="240" spans="1:19" ht="13.5" thickBot="1" x14ac:dyDescent="0.25">
      <c r="A240" s="4">
        <f>DATEVALUE(DataIn!A260)</f>
        <v>42930</v>
      </c>
      <c r="B240" s="5" t="str">
        <f>DataIn!B260</f>
        <v>POS 512967XXXXXX4422 ZES*UBER INDIA S POS DEBIT</v>
      </c>
      <c r="C240" s="5" t="str">
        <f>DataIn!C260</f>
        <v>0000719560040370</v>
      </c>
      <c r="D240" s="5" t="str">
        <f>DataIn!D260</f>
        <v>14/07/17</v>
      </c>
      <c r="E240" s="5">
        <f>DataIn!E260</f>
        <v>161.30000000000001</v>
      </c>
      <c r="F240" s="5">
        <f>DataIn!F260</f>
        <v>0</v>
      </c>
      <c r="G240" s="5">
        <f>DataIn!G260</f>
        <v>64934.04</v>
      </c>
      <c r="H240" s="6" t="b">
        <f>SUMPRODUCT(--ISNUMBER(SEARCH(CategoriesConfig!B$3:B$12,$B240)))&gt;0</f>
        <v>0</v>
      </c>
      <c r="I240" s="6" t="b">
        <f>SUMPRODUCT(--ISNUMBER(SEARCH(CategoriesConfig!C$3:C$12,$B240)))&gt;0</f>
        <v>1</v>
      </c>
      <c r="J240" s="6" t="b">
        <f>SUMPRODUCT(--ISNUMBER(SEARCH(CategoriesConfig!D$3:D$12,$B240)))&gt;0</f>
        <v>0</v>
      </c>
      <c r="K240" s="6" t="b">
        <f>SUMPRODUCT(--ISNUMBER(SEARCH(CategoriesConfig!E$3:E$12,$B240)))&gt;0</f>
        <v>0</v>
      </c>
      <c r="L240" s="6" t="b">
        <f>SUMPRODUCT(--ISNUMBER(SEARCH(CategoriesConfig!F$3:F$12,$B240)))&gt;0</f>
        <v>0</v>
      </c>
      <c r="M240" s="6" t="b">
        <f>SUMPRODUCT(--ISNUMBER(SEARCH(CategoriesConfig!G$3:G$12,$B240)))&gt;0</f>
        <v>0</v>
      </c>
      <c r="N240" s="6" t="b">
        <f>SUMPRODUCT(--ISNUMBER(SEARCH(CategoriesConfig!H$3:H$12,$B240)))&gt;0</f>
        <v>0</v>
      </c>
      <c r="O240" s="6" t="b">
        <f>SUMPRODUCT(--ISNUMBER(SEARCH(CategoriesConfig!I$3:I$12,$B240)))&gt;0</f>
        <v>0</v>
      </c>
      <c r="P240" s="22" t="b">
        <f t="shared" si="12"/>
        <v>0</v>
      </c>
      <c r="Q240" s="22">
        <f t="shared" si="11"/>
        <v>7</v>
      </c>
      <c r="S240" s="6" t="str">
        <f t="shared" si="10"/>
        <v>U</v>
      </c>
    </row>
    <row r="241" spans="1:19" ht="13.5" thickBot="1" x14ac:dyDescent="0.25">
      <c r="A241" s="4">
        <f>DATEVALUE(DataIn!A261)</f>
        <v>42930</v>
      </c>
      <c r="B241" s="5" t="str">
        <f>DataIn!B261</f>
        <v>POS 512967XXXXXX4422 CELEBRATIONS, POS DEBIT</v>
      </c>
      <c r="C241" s="5" t="str">
        <f>DataIn!C261</f>
        <v>0000000000020164</v>
      </c>
      <c r="D241" s="5" t="str">
        <f>DataIn!D261</f>
        <v>14/07/17</v>
      </c>
      <c r="E241" s="5">
        <f>DataIn!E261</f>
        <v>94</v>
      </c>
      <c r="F241" s="5">
        <f>DataIn!F261</f>
        <v>0</v>
      </c>
      <c r="G241" s="5">
        <f>DataIn!G261</f>
        <v>64840.04</v>
      </c>
      <c r="H241" s="6" t="b">
        <f>SUMPRODUCT(--ISNUMBER(SEARCH(CategoriesConfig!B$3:B$12,$B241)))&gt;0</f>
        <v>0</v>
      </c>
      <c r="I241" s="6" t="b">
        <f>SUMPRODUCT(--ISNUMBER(SEARCH(CategoriesConfig!C$3:C$12,$B241)))&gt;0</f>
        <v>0</v>
      </c>
      <c r="J241" s="6" t="b">
        <f>SUMPRODUCT(--ISNUMBER(SEARCH(CategoriesConfig!D$3:D$12,$B241)))&gt;0</f>
        <v>1</v>
      </c>
      <c r="K241" s="6" t="b">
        <f>SUMPRODUCT(--ISNUMBER(SEARCH(CategoriesConfig!E$3:E$12,$B241)))&gt;0</f>
        <v>0</v>
      </c>
      <c r="L241" s="6" t="b">
        <f>SUMPRODUCT(--ISNUMBER(SEARCH(CategoriesConfig!F$3:F$12,$B241)))&gt;0</f>
        <v>0</v>
      </c>
      <c r="M241" s="6" t="b">
        <f>SUMPRODUCT(--ISNUMBER(SEARCH(CategoriesConfig!G$3:G$12,$B241)))&gt;0</f>
        <v>0</v>
      </c>
      <c r="N241" s="6" t="b">
        <f>SUMPRODUCT(--ISNUMBER(SEARCH(CategoriesConfig!H$3:H$12,$B241)))&gt;0</f>
        <v>0</v>
      </c>
      <c r="O241" s="6" t="b">
        <f>SUMPRODUCT(--ISNUMBER(SEARCH(CategoriesConfig!I$3:I$12,$B241)))&gt;0</f>
        <v>0</v>
      </c>
      <c r="P241" s="22" t="b">
        <f t="shared" si="12"/>
        <v>0</v>
      </c>
      <c r="Q241" s="22">
        <f t="shared" si="11"/>
        <v>7</v>
      </c>
      <c r="S241" s="6" t="str">
        <f t="shared" si="10"/>
        <v>L</v>
      </c>
    </row>
    <row r="242" spans="1:19" ht="13.5" thickBot="1" x14ac:dyDescent="0.25">
      <c r="A242" s="4">
        <f>DATEVALUE(DataIn!A262)</f>
        <v>42930</v>
      </c>
      <c r="B242" s="5" t="str">
        <f>DataIn!B262</f>
        <v>NEFT CR-HSBC0400002-SALARY AND BULK PAYMENTS-LAWRENCE JAMES ROBSON COX-HSBCN17195981474</v>
      </c>
      <c r="C242" s="5" t="str">
        <f>DataIn!C262</f>
        <v>HSBCN17195981474</v>
      </c>
      <c r="D242" s="5" t="str">
        <f>DataIn!D262</f>
        <v>14/07/17</v>
      </c>
      <c r="E242" s="5">
        <f>DataIn!E262</f>
        <v>0</v>
      </c>
      <c r="F242" s="5">
        <f>DataIn!F262</f>
        <v>111298</v>
      </c>
      <c r="G242" s="5">
        <f>DataIn!G262</f>
        <v>176138.04</v>
      </c>
      <c r="H242" s="6" t="b">
        <f>SUMPRODUCT(--ISNUMBER(SEARCH(CategoriesConfig!B$3:B$12,$B242)))&gt;0</f>
        <v>1</v>
      </c>
      <c r="I242" s="6" t="b">
        <f>SUMPRODUCT(--ISNUMBER(SEARCH(CategoriesConfig!C$3:C$12,$B242)))&gt;0</f>
        <v>0</v>
      </c>
      <c r="J242" s="6" t="b">
        <f>SUMPRODUCT(--ISNUMBER(SEARCH(CategoriesConfig!D$3:D$12,$B242)))&gt;0</f>
        <v>0</v>
      </c>
      <c r="K242" s="6" t="b">
        <f>SUMPRODUCT(--ISNUMBER(SEARCH(CategoriesConfig!E$3:E$12,$B242)))&gt;0</f>
        <v>0</v>
      </c>
      <c r="L242" s="6" t="b">
        <f>SUMPRODUCT(--ISNUMBER(SEARCH(CategoriesConfig!F$3:F$12,$B242)))&gt;0</f>
        <v>0</v>
      </c>
      <c r="M242" s="6" t="b">
        <f>SUMPRODUCT(--ISNUMBER(SEARCH(CategoriesConfig!G$3:G$12,$B242)))&gt;0</f>
        <v>0</v>
      </c>
      <c r="N242" s="6" t="b">
        <f>SUMPRODUCT(--ISNUMBER(SEARCH(CategoriesConfig!H$3:H$12,$B242)))&gt;0</f>
        <v>0</v>
      </c>
      <c r="O242" s="6" t="b">
        <f>SUMPRODUCT(--ISNUMBER(SEARCH(CategoriesConfig!I$3:I$12,$B242)))&gt;0</f>
        <v>0</v>
      </c>
      <c r="P242" s="22" t="b">
        <f t="shared" si="12"/>
        <v>0</v>
      </c>
      <c r="Q242" s="22">
        <f t="shared" si="11"/>
        <v>7</v>
      </c>
      <c r="S242" s="6" t="str">
        <f t="shared" si="10"/>
        <v>I</v>
      </c>
    </row>
    <row r="243" spans="1:19" ht="13.5" thickBot="1" x14ac:dyDescent="0.25">
      <c r="A243" s="4">
        <f>DATEVALUE(DataIn!A263)</f>
        <v>42930</v>
      </c>
      <c r="B243" s="5" t="str">
        <f>DataIn!B263</f>
        <v>EAW-512967XXXXXX4422-BLON1845-BANGALORE</v>
      </c>
      <c r="C243" s="5" t="str">
        <f>DataIn!C263</f>
        <v>0000719513253712</v>
      </c>
      <c r="D243" s="5" t="str">
        <f>DataIn!D263</f>
        <v>14/07/17</v>
      </c>
      <c r="E243" s="5">
        <f>DataIn!E263</f>
        <v>10000</v>
      </c>
      <c r="F243" s="5">
        <f>DataIn!F263</f>
        <v>0</v>
      </c>
      <c r="G243" s="5">
        <f>DataIn!G263</f>
        <v>166138.04</v>
      </c>
      <c r="H243" s="6" t="b">
        <f>SUMPRODUCT(--ISNUMBER(SEARCH(CategoriesConfig!B$3:B$12,$B243)))&gt;0</f>
        <v>0</v>
      </c>
      <c r="I243" s="6" t="b">
        <f>SUMPRODUCT(--ISNUMBER(SEARCH(CategoriesConfig!C$3:C$12,$B243)))&gt;0</f>
        <v>0</v>
      </c>
      <c r="J243" s="6" t="b">
        <f>SUMPRODUCT(--ISNUMBER(SEARCH(CategoriesConfig!D$3:D$12,$B243)))&gt;0</f>
        <v>0</v>
      </c>
      <c r="K243" s="6" t="b">
        <f>SUMPRODUCT(--ISNUMBER(SEARCH(CategoriesConfig!E$3:E$12,$B243)))&gt;0</f>
        <v>0</v>
      </c>
      <c r="L243" s="6" t="b">
        <f>SUMPRODUCT(--ISNUMBER(SEARCH(CategoriesConfig!F$3:F$12,$B243)))&gt;0</f>
        <v>0</v>
      </c>
      <c r="M243" s="6" t="b">
        <f>SUMPRODUCT(--ISNUMBER(SEARCH(CategoriesConfig!G$3:G$12,$B243)))&gt;0</f>
        <v>0</v>
      </c>
      <c r="N243" s="6" t="b">
        <f>SUMPRODUCT(--ISNUMBER(SEARCH(CategoriesConfig!H$3:H$12,$B243)))&gt;0</f>
        <v>1</v>
      </c>
      <c r="O243" s="6" t="b">
        <f>SUMPRODUCT(--ISNUMBER(SEARCH(CategoriesConfig!I$3:I$12,$B243)))&gt;0</f>
        <v>0</v>
      </c>
      <c r="P243" s="22" t="b">
        <f t="shared" si="12"/>
        <v>0</v>
      </c>
      <c r="Q243" s="22">
        <f t="shared" si="11"/>
        <v>7</v>
      </c>
      <c r="S243" s="6" t="str">
        <f t="shared" si="10"/>
        <v>C</v>
      </c>
    </row>
    <row r="244" spans="1:19" ht="13.5" thickBot="1" x14ac:dyDescent="0.25">
      <c r="A244" s="4">
        <f>DATEVALUE(DataIn!A264)</f>
        <v>42931</v>
      </c>
      <c r="B244" s="5" t="str">
        <f>DataIn!B264</f>
        <v>POS 512967XXXXXX4422 CAFE COFFEE DAY POS DEBIT</v>
      </c>
      <c r="C244" s="5" t="str">
        <f>DataIn!C264</f>
        <v>0000000000570332</v>
      </c>
      <c r="D244" s="5" t="str">
        <f>DataIn!D264</f>
        <v>15/07/17</v>
      </c>
      <c r="E244" s="5">
        <f>DataIn!E264</f>
        <v>236</v>
      </c>
      <c r="F244" s="5">
        <f>DataIn!F264</f>
        <v>0</v>
      </c>
      <c r="G244" s="5">
        <f>DataIn!G264</f>
        <v>165902.04</v>
      </c>
      <c r="H244" s="6" t="b">
        <f>SUMPRODUCT(--ISNUMBER(SEARCH(CategoriesConfig!B$3:B$12,$B244)))&gt;0</f>
        <v>0</v>
      </c>
      <c r="I244" s="6" t="b">
        <f>SUMPRODUCT(--ISNUMBER(SEARCH(CategoriesConfig!C$3:C$12,$B244)))&gt;0</f>
        <v>0</v>
      </c>
      <c r="J244" s="6" t="b">
        <f>SUMPRODUCT(--ISNUMBER(SEARCH(CategoriesConfig!D$3:D$12,$B244)))&gt;0</f>
        <v>0</v>
      </c>
      <c r="K244" s="6" t="b">
        <f>SUMPRODUCT(--ISNUMBER(SEARCH(CategoriesConfig!E$3:E$12,$B244)))&gt;0</f>
        <v>0</v>
      </c>
      <c r="L244" s="6" t="b">
        <f>SUMPRODUCT(--ISNUMBER(SEARCH(CategoriesConfig!F$3:F$12,$B244)))&gt;0</f>
        <v>1</v>
      </c>
      <c r="M244" s="6" t="b">
        <f>SUMPRODUCT(--ISNUMBER(SEARCH(CategoriesConfig!G$3:G$12,$B244)))&gt;0</f>
        <v>0</v>
      </c>
      <c r="N244" s="6" t="b">
        <f>SUMPRODUCT(--ISNUMBER(SEARCH(CategoriesConfig!H$3:H$12,$B244)))&gt;0</f>
        <v>0</v>
      </c>
      <c r="O244" s="6" t="b">
        <f>SUMPRODUCT(--ISNUMBER(SEARCH(CategoriesConfig!I$3:I$12,$B244)))&gt;0</f>
        <v>0</v>
      </c>
      <c r="P244" s="22" t="b">
        <f t="shared" si="12"/>
        <v>0</v>
      </c>
      <c r="Q244" s="22">
        <f t="shared" si="11"/>
        <v>7</v>
      </c>
      <c r="S244" s="6" t="str">
        <f t="shared" si="10"/>
        <v>F</v>
      </c>
    </row>
    <row r="245" spans="1:19" ht="13.5" thickBot="1" x14ac:dyDescent="0.25">
      <c r="A245" s="4">
        <f>DATEVALUE(DataIn!A265)</f>
        <v>42931</v>
      </c>
      <c r="B245" s="5" t="str">
        <f>DataIn!B265</f>
        <v>POS 512967XXXXXX4422 ROYAL MART-RICHM POS DEBIT</v>
      </c>
      <c r="C245" s="5" t="str">
        <f>DataIn!C265</f>
        <v>0000000000113479</v>
      </c>
      <c r="D245" s="5" t="str">
        <f>DataIn!D265</f>
        <v>15/07/17</v>
      </c>
      <c r="E245" s="5">
        <f>DataIn!E265</f>
        <v>138</v>
      </c>
      <c r="F245" s="5">
        <f>DataIn!F265</f>
        <v>0</v>
      </c>
      <c r="G245" s="5">
        <f>DataIn!G265</f>
        <v>165764.04</v>
      </c>
      <c r="H245" s="6" t="b">
        <f>SUMPRODUCT(--ISNUMBER(SEARCH(CategoriesConfig!B$3:B$12,$B245)))&gt;0</f>
        <v>0</v>
      </c>
      <c r="I245" s="6" t="b">
        <f>SUMPRODUCT(--ISNUMBER(SEARCH(CategoriesConfig!C$3:C$12,$B245)))&gt;0</f>
        <v>0</v>
      </c>
      <c r="J245" s="6" t="b">
        <f>SUMPRODUCT(--ISNUMBER(SEARCH(CategoriesConfig!D$3:D$12,$B245)))&gt;0</f>
        <v>0</v>
      </c>
      <c r="K245" s="6" t="b">
        <f>SUMPRODUCT(--ISNUMBER(SEARCH(CategoriesConfig!E$3:E$12,$B245)))&gt;0</f>
        <v>0</v>
      </c>
      <c r="L245" s="6" t="b">
        <f>SUMPRODUCT(--ISNUMBER(SEARCH(CategoriesConfig!F$3:F$12,$B245)))&gt;0</f>
        <v>0</v>
      </c>
      <c r="M245" s="6" t="b">
        <f>SUMPRODUCT(--ISNUMBER(SEARCH(CategoriesConfig!G$3:G$12,$B245)))&gt;0</f>
        <v>1</v>
      </c>
      <c r="N245" s="6" t="b">
        <f>SUMPRODUCT(--ISNUMBER(SEARCH(CategoriesConfig!H$3:H$12,$B245)))&gt;0</f>
        <v>0</v>
      </c>
      <c r="O245" s="6" t="b">
        <f>SUMPRODUCT(--ISNUMBER(SEARCH(CategoriesConfig!I$3:I$12,$B245)))&gt;0</f>
        <v>0</v>
      </c>
      <c r="P245" s="22" t="b">
        <f t="shared" si="12"/>
        <v>0</v>
      </c>
      <c r="Q245" s="22">
        <f t="shared" si="11"/>
        <v>7</v>
      </c>
      <c r="S245" s="6" t="str">
        <f t="shared" si="10"/>
        <v>M</v>
      </c>
    </row>
    <row r="246" spans="1:19" ht="13.5" thickBot="1" x14ac:dyDescent="0.25">
      <c r="A246" s="4">
        <f>DATEVALUE(DataIn!A266)</f>
        <v>42932</v>
      </c>
      <c r="B246" s="5" t="str">
        <f>DataIn!B266</f>
        <v>POS 512967XXXXXX4422 ZES*UBER INDIA S POS DEBIT</v>
      </c>
      <c r="C246" s="5" t="str">
        <f>DataIn!C266</f>
        <v>0000719760213388</v>
      </c>
      <c r="D246" s="5" t="str">
        <f>DataIn!D266</f>
        <v>16/07/17</v>
      </c>
      <c r="E246" s="5">
        <f>DataIn!E266</f>
        <v>166.56</v>
      </c>
      <c r="F246" s="5">
        <f>DataIn!F266</f>
        <v>0</v>
      </c>
      <c r="G246" s="5">
        <f>DataIn!G266</f>
        <v>165597.48000000001</v>
      </c>
      <c r="H246" s="6" t="b">
        <f>SUMPRODUCT(--ISNUMBER(SEARCH(CategoriesConfig!B$3:B$12,$B246)))&gt;0</f>
        <v>0</v>
      </c>
      <c r="I246" s="6" t="b">
        <f>SUMPRODUCT(--ISNUMBER(SEARCH(CategoriesConfig!C$3:C$12,$B246)))&gt;0</f>
        <v>1</v>
      </c>
      <c r="J246" s="6" t="b">
        <f>SUMPRODUCT(--ISNUMBER(SEARCH(CategoriesConfig!D$3:D$12,$B246)))&gt;0</f>
        <v>0</v>
      </c>
      <c r="K246" s="6" t="b">
        <f>SUMPRODUCT(--ISNUMBER(SEARCH(CategoriesConfig!E$3:E$12,$B246)))&gt;0</f>
        <v>0</v>
      </c>
      <c r="L246" s="6" t="b">
        <f>SUMPRODUCT(--ISNUMBER(SEARCH(CategoriesConfig!F$3:F$12,$B246)))&gt;0</f>
        <v>0</v>
      </c>
      <c r="M246" s="6" t="b">
        <f>SUMPRODUCT(--ISNUMBER(SEARCH(CategoriesConfig!G$3:G$12,$B246)))&gt;0</f>
        <v>0</v>
      </c>
      <c r="N246" s="6" t="b">
        <f>SUMPRODUCT(--ISNUMBER(SEARCH(CategoriesConfig!H$3:H$12,$B246)))&gt;0</f>
        <v>0</v>
      </c>
      <c r="O246" s="6" t="b">
        <f>SUMPRODUCT(--ISNUMBER(SEARCH(CategoriesConfig!I$3:I$12,$B246)))&gt;0</f>
        <v>0</v>
      </c>
      <c r="P246" s="22" t="b">
        <f t="shared" ref="P246:P305" si="13">IF(SUMIF(H246:O246,"TRUE",H$1:O$1)=0,TRUE,FALSE)</f>
        <v>0</v>
      </c>
      <c r="Q246" s="22">
        <f t="shared" ref="Q246:Q305" si="14">MONTH(A246)</f>
        <v>7</v>
      </c>
      <c r="S246" s="6" t="str">
        <f t="shared" si="10"/>
        <v>U</v>
      </c>
    </row>
    <row r="247" spans="1:19" ht="13.5" thickBot="1" x14ac:dyDescent="0.25">
      <c r="A247" s="4">
        <f>DATEVALUE(DataIn!A267)</f>
        <v>42932</v>
      </c>
      <c r="B247" s="5" t="str">
        <f>DataIn!B267</f>
        <v>POS 512967XXXXXX4422 PTM*PAYTM POS DEBIT</v>
      </c>
      <c r="C247" s="5" t="str">
        <f>DataIn!C267</f>
        <v>0000719760281208</v>
      </c>
      <c r="D247" s="5" t="str">
        <f>DataIn!D267</f>
        <v>16/07/17</v>
      </c>
      <c r="E247" s="5">
        <f>DataIn!E267</f>
        <v>348</v>
      </c>
      <c r="F247" s="5">
        <f>DataIn!F267</f>
        <v>0</v>
      </c>
      <c r="G247" s="5">
        <f>DataIn!G267</f>
        <v>165249.48000000001</v>
      </c>
      <c r="H247" s="6" t="b">
        <f>SUMPRODUCT(--ISNUMBER(SEARCH(CategoriesConfig!B$3:B$12,$B247)))&gt;0</f>
        <v>0</v>
      </c>
      <c r="I247" s="6" t="b">
        <f>SUMPRODUCT(--ISNUMBER(SEARCH(CategoriesConfig!C$3:C$12,$B247)))&gt;0</f>
        <v>0</v>
      </c>
      <c r="J247" s="6" t="b">
        <f>SUMPRODUCT(--ISNUMBER(SEARCH(CategoriesConfig!D$3:D$12,$B247)))&gt;0</f>
        <v>0</v>
      </c>
      <c r="K247" s="6" t="b">
        <f>SUMPRODUCT(--ISNUMBER(SEARCH(CategoriesConfig!E$3:E$12,$B247)))&gt;0</f>
        <v>0</v>
      </c>
      <c r="L247" s="6" t="b">
        <f>SUMPRODUCT(--ISNUMBER(SEARCH(CategoriesConfig!F$3:F$12,$B247)))&gt;0</f>
        <v>0</v>
      </c>
      <c r="M247" s="6" t="b">
        <f>SUMPRODUCT(--ISNUMBER(SEARCH(CategoriesConfig!G$3:G$12,$B247)))&gt;0</f>
        <v>0</v>
      </c>
      <c r="N247" s="6" t="b">
        <f>SUMPRODUCT(--ISNUMBER(SEARCH(CategoriesConfig!H$3:H$12,$B247)))&gt;0</f>
        <v>0</v>
      </c>
      <c r="O247" s="6" t="b">
        <f>SUMPRODUCT(--ISNUMBER(SEARCH(CategoriesConfig!I$3:I$12,$B247)))&gt;0</f>
        <v>0</v>
      </c>
      <c r="P247" s="22" t="b">
        <f t="shared" si="13"/>
        <v>1</v>
      </c>
      <c r="Q247" s="22">
        <f t="shared" si="14"/>
        <v>7</v>
      </c>
      <c r="R247" t="s">
        <v>223</v>
      </c>
      <c r="S247" s="6" t="str">
        <f t="shared" si="10"/>
        <v>M</v>
      </c>
    </row>
    <row r="248" spans="1:19" ht="13.5" thickBot="1" x14ac:dyDescent="0.25">
      <c r="A248" s="4">
        <f>DATEVALUE(DataIn!A268)</f>
        <v>42932</v>
      </c>
      <c r="B248" s="5" t="str">
        <f>DataIn!B268</f>
        <v>POS 512967XXXXXX4422 PLAN B POS DEBIT</v>
      </c>
      <c r="C248" s="5" t="str">
        <f>DataIn!C268</f>
        <v>0000000000473277</v>
      </c>
      <c r="D248" s="5" t="str">
        <f>DataIn!D268</f>
        <v>17/07/17</v>
      </c>
      <c r="E248" s="5">
        <f>DataIn!E268</f>
        <v>1554</v>
      </c>
      <c r="F248" s="5">
        <f>DataIn!F268</f>
        <v>0</v>
      </c>
      <c r="G248" s="5">
        <f>DataIn!G268</f>
        <v>163695.48000000001</v>
      </c>
      <c r="H248" s="6" t="b">
        <f>SUMPRODUCT(--ISNUMBER(SEARCH(CategoriesConfig!B$3:B$12,$B248)))&gt;0</f>
        <v>0</v>
      </c>
      <c r="I248" s="6" t="b">
        <f>SUMPRODUCT(--ISNUMBER(SEARCH(CategoriesConfig!C$3:C$12,$B248)))&gt;0</f>
        <v>0</v>
      </c>
      <c r="J248" s="6" t="b">
        <f>SUMPRODUCT(--ISNUMBER(SEARCH(CategoriesConfig!D$3:D$12,$B248)))&gt;0</f>
        <v>0</v>
      </c>
      <c r="K248" s="6" t="b">
        <f>SUMPRODUCT(--ISNUMBER(SEARCH(CategoriesConfig!E$3:E$12,$B248)))&gt;0</f>
        <v>0</v>
      </c>
      <c r="L248" s="6" t="b">
        <f>SUMPRODUCT(--ISNUMBER(SEARCH(CategoriesConfig!F$3:F$12,$B248)))&gt;0</f>
        <v>1</v>
      </c>
      <c r="M248" s="6" t="b">
        <f>SUMPRODUCT(--ISNUMBER(SEARCH(CategoriesConfig!G$3:G$12,$B248)))&gt;0</f>
        <v>0</v>
      </c>
      <c r="N248" s="6" t="b">
        <f>SUMPRODUCT(--ISNUMBER(SEARCH(CategoriesConfig!H$3:H$12,$B248)))&gt;0</f>
        <v>0</v>
      </c>
      <c r="O248" s="6" t="b">
        <f>SUMPRODUCT(--ISNUMBER(SEARCH(CategoriesConfig!I$3:I$12,$B248)))&gt;0</f>
        <v>0</v>
      </c>
      <c r="P248" s="22" t="b">
        <f t="shared" si="13"/>
        <v>0</v>
      </c>
      <c r="Q248" s="22">
        <f t="shared" si="14"/>
        <v>7</v>
      </c>
      <c r="S248" s="6" t="str">
        <f t="shared" si="10"/>
        <v>F</v>
      </c>
    </row>
    <row r="249" spans="1:19" ht="13.5" thickBot="1" x14ac:dyDescent="0.25">
      <c r="A249" s="4">
        <f>DATEVALUE(DataIn!A269)</f>
        <v>42933</v>
      </c>
      <c r="B249" s="5" t="str">
        <f>DataIn!B269</f>
        <v>POS 512967XXXXXX4422 CELEBRATIONS, POS DEBIT</v>
      </c>
      <c r="C249" s="5" t="str">
        <f>DataIn!C269</f>
        <v>0000000000020441</v>
      </c>
      <c r="D249" s="5" t="str">
        <f>DataIn!D269</f>
        <v>17/07/17</v>
      </c>
      <c r="E249" s="5">
        <f>DataIn!E269</f>
        <v>94</v>
      </c>
      <c r="F249" s="5">
        <f>DataIn!F269</f>
        <v>0</v>
      </c>
      <c r="G249" s="5">
        <f>DataIn!G269</f>
        <v>163601.48000000001</v>
      </c>
      <c r="H249" s="6" t="b">
        <f>SUMPRODUCT(--ISNUMBER(SEARCH(CategoriesConfig!B$3:B$12,$B249)))&gt;0</f>
        <v>0</v>
      </c>
      <c r="I249" s="6" t="b">
        <f>SUMPRODUCT(--ISNUMBER(SEARCH(CategoriesConfig!C$3:C$12,$B249)))&gt;0</f>
        <v>0</v>
      </c>
      <c r="J249" s="6" t="b">
        <f>SUMPRODUCT(--ISNUMBER(SEARCH(CategoriesConfig!D$3:D$12,$B249)))&gt;0</f>
        <v>1</v>
      </c>
      <c r="K249" s="6" t="b">
        <f>SUMPRODUCT(--ISNUMBER(SEARCH(CategoriesConfig!E$3:E$12,$B249)))&gt;0</f>
        <v>0</v>
      </c>
      <c r="L249" s="6" t="b">
        <f>SUMPRODUCT(--ISNUMBER(SEARCH(CategoriesConfig!F$3:F$12,$B249)))&gt;0</f>
        <v>0</v>
      </c>
      <c r="M249" s="6" t="b">
        <f>SUMPRODUCT(--ISNUMBER(SEARCH(CategoriesConfig!G$3:G$12,$B249)))&gt;0</f>
        <v>0</v>
      </c>
      <c r="N249" s="6" t="b">
        <f>SUMPRODUCT(--ISNUMBER(SEARCH(CategoriesConfig!H$3:H$12,$B249)))&gt;0</f>
        <v>0</v>
      </c>
      <c r="O249" s="6" t="b">
        <f>SUMPRODUCT(--ISNUMBER(SEARCH(CategoriesConfig!I$3:I$12,$B249)))&gt;0</f>
        <v>0</v>
      </c>
      <c r="P249" s="22" t="b">
        <f t="shared" si="13"/>
        <v>0</v>
      </c>
      <c r="Q249" s="22">
        <f t="shared" si="14"/>
        <v>7</v>
      </c>
      <c r="S249" s="6" t="str">
        <f t="shared" si="10"/>
        <v>L</v>
      </c>
    </row>
    <row r="250" spans="1:19" ht="13.5" thickBot="1" x14ac:dyDescent="0.25">
      <c r="A250" s="4">
        <f>DATEVALUE(DataIn!A270)</f>
        <v>42933</v>
      </c>
      <c r="B250" s="5" t="str">
        <f>DataIn!B270</f>
        <v>POS 512967XXXXXX4422 ZES*UBER INDIA S POS DEBIT</v>
      </c>
      <c r="C250" s="5" t="str">
        <f>DataIn!C270</f>
        <v>0000719840244489</v>
      </c>
      <c r="D250" s="5" t="str">
        <f>DataIn!D270</f>
        <v>17/07/17</v>
      </c>
      <c r="E250" s="5">
        <f>DataIn!E270</f>
        <v>22.78</v>
      </c>
      <c r="F250" s="5">
        <f>DataIn!F270</f>
        <v>0</v>
      </c>
      <c r="G250" s="5">
        <f>DataIn!G270</f>
        <v>163578.70000000001</v>
      </c>
      <c r="H250" s="6" t="b">
        <f>SUMPRODUCT(--ISNUMBER(SEARCH(CategoriesConfig!B$3:B$12,$B250)))&gt;0</f>
        <v>0</v>
      </c>
      <c r="I250" s="6" t="b">
        <f>SUMPRODUCT(--ISNUMBER(SEARCH(CategoriesConfig!C$3:C$12,$B250)))&gt;0</f>
        <v>1</v>
      </c>
      <c r="J250" s="6" t="b">
        <f>SUMPRODUCT(--ISNUMBER(SEARCH(CategoriesConfig!D$3:D$12,$B250)))&gt;0</f>
        <v>0</v>
      </c>
      <c r="K250" s="6" t="b">
        <f>SUMPRODUCT(--ISNUMBER(SEARCH(CategoriesConfig!E$3:E$12,$B250)))&gt;0</f>
        <v>0</v>
      </c>
      <c r="L250" s="6" t="b">
        <f>SUMPRODUCT(--ISNUMBER(SEARCH(CategoriesConfig!F$3:F$12,$B250)))&gt;0</f>
        <v>0</v>
      </c>
      <c r="M250" s="6" t="b">
        <f>SUMPRODUCT(--ISNUMBER(SEARCH(CategoriesConfig!G$3:G$12,$B250)))&gt;0</f>
        <v>0</v>
      </c>
      <c r="N250" s="6" t="b">
        <f>SUMPRODUCT(--ISNUMBER(SEARCH(CategoriesConfig!H$3:H$12,$B250)))&gt;0</f>
        <v>0</v>
      </c>
      <c r="O250" s="6" t="b">
        <f>SUMPRODUCT(--ISNUMBER(SEARCH(CategoriesConfig!I$3:I$12,$B250)))&gt;0</f>
        <v>0</v>
      </c>
      <c r="P250" s="22" t="b">
        <f t="shared" si="13"/>
        <v>0</v>
      </c>
      <c r="Q250" s="22">
        <f t="shared" si="14"/>
        <v>7</v>
      </c>
      <c r="S250" s="6" t="str">
        <f t="shared" si="10"/>
        <v>U</v>
      </c>
    </row>
    <row r="251" spans="1:19" ht="13.5" thickBot="1" x14ac:dyDescent="0.25">
      <c r="A251" s="4">
        <f>DATEVALUE(DataIn!A271)</f>
        <v>42933</v>
      </c>
      <c r="B251" s="5" t="str">
        <f>DataIn!B271</f>
        <v>NWD-512967XXXXXX4422-VD103802-BANGALORE</v>
      </c>
      <c r="C251" s="5" t="str">
        <f>DataIn!C271</f>
        <v>0000719821164687</v>
      </c>
      <c r="D251" s="5" t="str">
        <f>DataIn!D271</f>
        <v>17/07/17</v>
      </c>
      <c r="E251" s="5">
        <f>DataIn!E271</f>
        <v>2000</v>
      </c>
      <c r="F251" s="5">
        <f>DataIn!F271</f>
        <v>0</v>
      </c>
      <c r="G251" s="5">
        <f>DataIn!G271</f>
        <v>161578.70000000001</v>
      </c>
      <c r="H251" s="6" t="b">
        <f>SUMPRODUCT(--ISNUMBER(SEARCH(CategoriesConfig!B$3:B$12,$B251)))&gt;0</f>
        <v>0</v>
      </c>
      <c r="I251" s="6" t="b">
        <f>SUMPRODUCT(--ISNUMBER(SEARCH(CategoriesConfig!C$3:C$12,$B251)))&gt;0</f>
        <v>0</v>
      </c>
      <c r="J251" s="6" t="b">
        <f>SUMPRODUCT(--ISNUMBER(SEARCH(CategoriesConfig!D$3:D$12,$B251)))&gt;0</f>
        <v>0</v>
      </c>
      <c r="K251" s="6" t="b">
        <f>SUMPRODUCT(--ISNUMBER(SEARCH(CategoriesConfig!E$3:E$12,$B251)))&gt;0</f>
        <v>0</v>
      </c>
      <c r="L251" s="6" t="b">
        <f>SUMPRODUCT(--ISNUMBER(SEARCH(CategoriesConfig!F$3:F$12,$B251)))&gt;0</f>
        <v>0</v>
      </c>
      <c r="M251" s="6" t="b">
        <f>SUMPRODUCT(--ISNUMBER(SEARCH(CategoriesConfig!G$3:G$12,$B251)))&gt;0</f>
        <v>0</v>
      </c>
      <c r="N251" s="6" t="b">
        <f>SUMPRODUCT(--ISNUMBER(SEARCH(CategoriesConfig!H$3:H$12,$B251)))&gt;0</f>
        <v>1</v>
      </c>
      <c r="O251" s="6" t="b">
        <f>SUMPRODUCT(--ISNUMBER(SEARCH(CategoriesConfig!I$3:I$12,$B251)))&gt;0</f>
        <v>0</v>
      </c>
      <c r="P251" s="22" t="b">
        <f t="shared" si="13"/>
        <v>0</v>
      </c>
      <c r="Q251" s="22">
        <f t="shared" si="14"/>
        <v>7</v>
      </c>
      <c r="S251" s="6" t="str">
        <f t="shared" si="10"/>
        <v>C</v>
      </c>
    </row>
    <row r="252" spans="1:19" ht="13.5" thickBot="1" x14ac:dyDescent="0.25">
      <c r="A252" s="4">
        <f>DATEVALUE(DataIn!A272)</f>
        <v>42934</v>
      </c>
      <c r="B252" s="5" t="str">
        <f>DataIn!B272</f>
        <v>POS 512967XXXXXX4422 CELEBRATIONS, POS DEBIT</v>
      </c>
      <c r="C252" s="5" t="str">
        <f>DataIn!C272</f>
        <v>0000000000020680</v>
      </c>
      <c r="D252" s="5" t="str">
        <f>DataIn!D272</f>
        <v>18/07/17</v>
      </c>
      <c r="E252" s="5">
        <f>DataIn!E272</f>
        <v>94</v>
      </c>
      <c r="F252" s="5">
        <f>DataIn!F272</f>
        <v>0</v>
      </c>
      <c r="G252" s="5">
        <f>DataIn!G272</f>
        <v>161484.70000000001</v>
      </c>
      <c r="H252" s="6" t="b">
        <f>SUMPRODUCT(--ISNUMBER(SEARCH(CategoriesConfig!B$3:B$12,$B252)))&gt;0</f>
        <v>0</v>
      </c>
      <c r="I252" s="6" t="b">
        <f>SUMPRODUCT(--ISNUMBER(SEARCH(CategoriesConfig!C$3:C$12,$B252)))&gt;0</f>
        <v>0</v>
      </c>
      <c r="J252" s="6" t="b">
        <f>SUMPRODUCT(--ISNUMBER(SEARCH(CategoriesConfig!D$3:D$12,$B252)))&gt;0</f>
        <v>1</v>
      </c>
      <c r="K252" s="6" t="b">
        <f>SUMPRODUCT(--ISNUMBER(SEARCH(CategoriesConfig!E$3:E$12,$B252)))&gt;0</f>
        <v>0</v>
      </c>
      <c r="L252" s="6" t="b">
        <f>SUMPRODUCT(--ISNUMBER(SEARCH(CategoriesConfig!F$3:F$12,$B252)))&gt;0</f>
        <v>0</v>
      </c>
      <c r="M252" s="6" t="b">
        <f>SUMPRODUCT(--ISNUMBER(SEARCH(CategoriesConfig!G$3:G$12,$B252)))&gt;0</f>
        <v>0</v>
      </c>
      <c r="N252" s="6" t="b">
        <f>SUMPRODUCT(--ISNUMBER(SEARCH(CategoriesConfig!H$3:H$12,$B252)))&gt;0</f>
        <v>0</v>
      </c>
      <c r="O252" s="6" t="b">
        <f>SUMPRODUCT(--ISNUMBER(SEARCH(CategoriesConfig!I$3:I$12,$B252)))&gt;0</f>
        <v>0</v>
      </c>
      <c r="P252" s="22" t="b">
        <f t="shared" si="13"/>
        <v>0</v>
      </c>
      <c r="Q252" s="22">
        <f t="shared" si="14"/>
        <v>7</v>
      </c>
      <c r="S252" s="6" t="str">
        <f t="shared" si="10"/>
        <v>L</v>
      </c>
    </row>
    <row r="253" spans="1:19" ht="13.5" thickBot="1" x14ac:dyDescent="0.25">
      <c r="A253" s="4">
        <f>DATEVALUE(DataIn!A273)</f>
        <v>42934</v>
      </c>
      <c r="B253" s="5" t="str">
        <f>DataIn!B273</f>
        <v>POS 512967XXXXXX4422 PLAN B POS DEBIT</v>
      </c>
      <c r="C253" s="5" t="str">
        <f>DataIn!C273</f>
        <v>0000000000120041</v>
      </c>
      <c r="D253" s="5" t="str">
        <f>DataIn!D273</f>
        <v>18/07/17</v>
      </c>
      <c r="E253" s="5">
        <f>DataIn!E273</f>
        <v>708</v>
      </c>
      <c r="F253" s="5">
        <f>DataIn!F273</f>
        <v>0</v>
      </c>
      <c r="G253" s="5">
        <f>DataIn!G273</f>
        <v>160776.70000000001</v>
      </c>
      <c r="H253" s="6" t="b">
        <f>SUMPRODUCT(--ISNUMBER(SEARCH(CategoriesConfig!B$3:B$12,$B253)))&gt;0</f>
        <v>0</v>
      </c>
      <c r="I253" s="6" t="b">
        <f>SUMPRODUCT(--ISNUMBER(SEARCH(CategoriesConfig!C$3:C$12,$B253)))&gt;0</f>
        <v>0</v>
      </c>
      <c r="J253" s="6" t="b">
        <f>SUMPRODUCT(--ISNUMBER(SEARCH(CategoriesConfig!D$3:D$12,$B253)))&gt;0</f>
        <v>0</v>
      </c>
      <c r="K253" s="6" t="b">
        <f>SUMPRODUCT(--ISNUMBER(SEARCH(CategoriesConfig!E$3:E$12,$B253)))&gt;0</f>
        <v>0</v>
      </c>
      <c r="L253" s="6" t="b">
        <f>SUMPRODUCT(--ISNUMBER(SEARCH(CategoriesConfig!F$3:F$12,$B253)))&gt;0</f>
        <v>1</v>
      </c>
      <c r="M253" s="6" t="b">
        <f>SUMPRODUCT(--ISNUMBER(SEARCH(CategoriesConfig!G$3:G$12,$B253)))&gt;0</f>
        <v>0</v>
      </c>
      <c r="N253" s="6" t="b">
        <f>SUMPRODUCT(--ISNUMBER(SEARCH(CategoriesConfig!H$3:H$12,$B253)))&gt;0</f>
        <v>0</v>
      </c>
      <c r="O253" s="6" t="b">
        <f>SUMPRODUCT(--ISNUMBER(SEARCH(CategoriesConfig!I$3:I$12,$B253)))&gt;0</f>
        <v>0</v>
      </c>
      <c r="P253" s="22" t="b">
        <f t="shared" si="13"/>
        <v>0</v>
      </c>
      <c r="Q253" s="22">
        <f t="shared" si="14"/>
        <v>7</v>
      </c>
      <c r="S253" s="6" t="str">
        <f t="shared" si="10"/>
        <v>F</v>
      </c>
    </row>
    <row r="254" spans="1:19" ht="13.5" thickBot="1" x14ac:dyDescent="0.25">
      <c r="A254" s="4">
        <f>DATEVALUE(DataIn!A274)</f>
        <v>42935</v>
      </c>
      <c r="B254" s="5" t="str">
        <f>DataIn!B274</f>
        <v>POS 512967XXXXXX4422 ZES*UBER INDIA S POS DEBIT</v>
      </c>
      <c r="C254" s="5" t="str">
        <f>DataIn!C274</f>
        <v>0000720060253930</v>
      </c>
      <c r="D254" s="5" t="str">
        <f>DataIn!D274</f>
        <v>19/07/17</v>
      </c>
      <c r="E254" s="5">
        <f>DataIn!E274</f>
        <v>168.14</v>
      </c>
      <c r="F254" s="5">
        <f>DataIn!F274</f>
        <v>0</v>
      </c>
      <c r="G254" s="5">
        <f>DataIn!G274</f>
        <v>160608.56</v>
      </c>
      <c r="H254" s="6" t="b">
        <f>SUMPRODUCT(--ISNUMBER(SEARCH(CategoriesConfig!B$3:B$12,$B254)))&gt;0</f>
        <v>0</v>
      </c>
      <c r="I254" s="6" t="b">
        <f>SUMPRODUCT(--ISNUMBER(SEARCH(CategoriesConfig!C$3:C$12,$B254)))&gt;0</f>
        <v>1</v>
      </c>
      <c r="J254" s="6" t="b">
        <f>SUMPRODUCT(--ISNUMBER(SEARCH(CategoriesConfig!D$3:D$12,$B254)))&gt;0</f>
        <v>0</v>
      </c>
      <c r="K254" s="6" t="b">
        <f>SUMPRODUCT(--ISNUMBER(SEARCH(CategoriesConfig!E$3:E$12,$B254)))&gt;0</f>
        <v>0</v>
      </c>
      <c r="L254" s="6" t="b">
        <f>SUMPRODUCT(--ISNUMBER(SEARCH(CategoriesConfig!F$3:F$12,$B254)))&gt;0</f>
        <v>0</v>
      </c>
      <c r="M254" s="6" t="b">
        <f>SUMPRODUCT(--ISNUMBER(SEARCH(CategoriesConfig!G$3:G$12,$B254)))&gt;0</f>
        <v>0</v>
      </c>
      <c r="N254" s="6" t="b">
        <f>SUMPRODUCT(--ISNUMBER(SEARCH(CategoriesConfig!H$3:H$12,$B254)))&gt;0</f>
        <v>0</v>
      </c>
      <c r="O254" s="6" t="b">
        <f>SUMPRODUCT(--ISNUMBER(SEARCH(CategoriesConfig!I$3:I$12,$B254)))&gt;0</f>
        <v>0</v>
      </c>
      <c r="P254" s="22" t="b">
        <f t="shared" si="13"/>
        <v>0</v>
      </c>
      <c r="Q254" s="22">
        <f t="shared" si="14"/>
        <v>7</v>
      </c>
      <c r="S254" s="6" t="str">
        <f t="shared" si="10"/>
        <v>U</v>
      </c>
    </row>
    <row r="255" spans="1:19" ht="13.5" thickBot="1" x14ac:dyDescent="0.25">
      <c r="A255" s="4">
        <f>DATEVALUE(DataIn!A275)</f>
        <v>42935</v>
      </c>
      <c r="B255" s="5" t="str">
        <f>DataIn!B275</f>
        <v>POS 512967XXXXXX4422 CELEBRATIONS, POS DEBIT</v>
      </c>
      <c r="C255" s="5" t="str">
        <f>DataIn!C275</f>
        <v>0000000000020902</v>
      </c>
      <c r="D255" s="5" t="str">
        <f>DataIn!D275</f>
        <v>19/07/17</v>
      </c>
      <c r="E255" s="5">
        <f>DataIn!E275</f>
        <v>94</v>
      </c>
      <c r="F255" s="5">
        <f>DataIn!F275</f>
        <v>0</v>
      </c>
      <c r="G255" s="5">
        <f>DataIn!G275</f>
        <v>160514.56</v>
      </c>
      <c r="H255" s="6" t="b">
        <f>SUMPRODUCT(--ISNUMBER(SEARCH(CategoriesConfig!B$3:B$12,$B255)))&gt;0</f>
        <v>0</v>
      </c>
      <c r="I255" s="6" t="b">
        <f>SUMPRODUCT(--ISNUMBER(SEARCH(CategoriesConfig!C$3:C$12,$B255)))&gt;0</f>
        <v>0</v>
      </c>
      <c r="J255" s="6" t="b">
        <f>SUMPRODUCT(--ISNUMBER(SEARCH(CategoriesConfig!D$3:D$12,$B255)))&gt;0</f>
        <v>1</v>
      </c>
      <c r="K255" s="6" t="b">
        <f>SUMPRODUCT(--ISNUMBER(SEARCH(CategoriesConfig!E$3:E$12,$B255)))&gt;0</f>
        <v>0</v>
      </c>
      <c r="L255" s="6" t="b">
        <f>SUMPRODUCT(--ISNUMBER(SEARCH(CategoriesConfig!F$3:F$12,$B255)))&gt;0</f>
        <v>0</v>
      </c>
      <c r="M255" s="6" t="b">
        <f>SUMPRODUCT(--ISNUMBER(SEARCH(CategoriesConfig!G$3:G$12,$B255)))&gt;0</f>
        <v>0</v>
      </c>
      <c r="N255" s="6" t="b">
        <f>SUMPRODUCT(--ISNUMBER(SEARCH(CategoriesConfig!H$3:H$12,$B255)))&gt;0</f>
        <v>0</v>
      </c>
      <c r="O255" s="6" t="b">
        <f>SUMPRODUCT(--ISNUMBER(SEARCH(CategoriesConfig!I$3:I$12,$B255)))&gt;0</f>
        <v>0</v>
      </c>
      <c r="P255" s="22" t="b">
        <f t="shared" si="13"/>
        <v>0</v>
      </c>
      <c r="Q255" s="22">
        <f t="shared" si="14"/>
        <v>7</v>
      </c>
      <c r="S255" s="6" t="str">
        <f t="shared" si="10"/>
        <v>L</v>
      </c>
    </row>
    <row r="256" spans="1:19" ht="13.5" thickBot="1" x14ac:dyDescent="0.25">
      <c r="A256" s="4">
        <f>DATEVALUE(DataIn!A276)</f>
        <v>42935</v>
      </c>
      <c r="B256" s="5" t="str">
        <f>DataIn!B276</f>
        <v>POS 512967XXXXXX4422 HYPERCITY RETAIL POS DEBIT</v>
      </c>
      <c r="C256" s="5" t="str">
        <f>DataIn!C276</f>
        <v>0000000000005357</v>
      </c>
      <c r="D256" s="5" t="str">
        <f>DataIn!D276</f>
        <v>19/07/17</v>
      </c>
      <c r="E256" s="5">
        <f>DataIn!E276</f>
        <v>100</v>
      </c>
      <c r="F256" s="5">
        <f>DataIn!F276</f>
        <v>0</v>
      </c>
      <c r="G256" s="5">
        <f>DataIn!G276</f>
        <v>160414.56</v>
      </c>
      <c r="H256" s="6" t="b">
        <f>SUMPRODUCT(--ISNUMBER(SEARCH(CategoriesConfig!B$3:B$12,$B256)))&gt;0</f>
        <v>0</v>
      </c>
      <c r="I256" s="6" t="b">
        <f>SUMPRODUCT(--ISNUMBER(SEARCH(CategoriesConfig!C$3:C$12,$B256)))&gt;0</f>
        <v>0</v>
      </c>
      <c r="J256" s="6" t="b">
        <f>SUMPRODUCT(--ISNUMBER(SEARCH(CategoriesConfig!D$3:D$12,$B256)))&gt;0</f>
        <v>0</v>
      </c>
      <c r="K256" s="6" t="b">
        <f>SUMPRODUCT(--ISNUMBER(SEARCH(CategoriesConfig!E$3:E$12,$B256)))&gt;0</f>
        <v>0</v>
      </c>
      <c r="L256" s="6" t="b">
        <f>SUMPRODUCT(--ISNUMBER(SEARCH(CategoriesConfig!F$3:F$12,$B256)))&gt;0</f>
        <v>0</v>
      </c>
      <c r="M256" s="6" t="b">
        <f>SUMPRODUCT(--ISNUMBER(SEARCH(CategoriesConfig!G$3:G$12,$B256)))&gt;0</f>
        <v>1</v>
      </c>
      <c r="N256" s="6" t="b">
        <f>SUMPRODUCT(--ISNUMBER(SEARCH(CategoriesConfig!H$3:H$12,$B256)))&gt;0</f>
        <v>0</v>
      </c>
      <c r="O256" s="6" t="b">
        <f>SUMPRODUCT(--ISNUMBER(SEARCH(CategoriesConfig!I$3:I$12,$B256)))&gt;0</f>
        <v>0</v>
      </c>
      <c r="P256" s="22" t="b">
        <f t="shared" si="13"/>
        <v>0</v>
      </c>
      <c r="Q256" s="22">
        <f t="shared" si="14"/>
        <v>7</v>
      </c>
      <c r="S256" s="6" t="str">
        <f t="shared" si="10"/>
        <v>M</v>
      </c>
    </row>
    <row r="257" spans="1:19" ht="13.5" thickBot="1" x14ac:dyDescent="0.25">
      <c r="A257" s="4">
        <f>DATEVALUE(DataIn!A277)</f>
        <v>42935</v>
      </c>
      <c r="B257" s="5" t="str">
        <f>DataIn!B277</f>
        <v>POS 512967XXXXXX4422 PAYU-WWW.SWIGGY. POS DEBIT</v>
      </c>
      <c r="C257" s="5" t="str">
        <f>DataIn!C277</f>
        <v>0000040015396150</v>
      </c>
      <c r="D257" s="5" t="str">
        <f>DataIn!D277</f>
        <v>19/07/17</v>
      </c>
      <c r="E257" s="5">
        <f>DataIn!E277</f>
        <v>676</v>
      </c>
      <c r="F257" s="5">
        <f>DataIn!F277</f>
        <v>0</v>
      </c>
      <c r="G257" s="5">
        <f>DataIn!G277</f>
        <v>159738.56</v>
      </c>
      <c r="H257" s="6" t="b">
        <f>SUMPRODUCT(--ISNUMBER(SEARCH(CategoriesConfig!B$3:B$12,$B257)))&gt;0</f>
        <v>0</v>
      </c>
      <c r="I257" s="6" t="b">
        <f>SUMPRODUCT(--ISNUMBER(SEARCH(CategoriesConfig!C$3:C$12,$B257)))&gt;0</f>
        <v>0</v>
      </c>
      <c r="J257" s="6" t="b">
        <f>SUMPRODUCT(--ISNUMBER(SEARCH(CategoriesConfig!D$3:D$12,$B257)))&gt;0</f>
        <v>0</v>
      </c>
      <c r="K257" s="6" t="b">
        <f>SUMPRODUCT(--ISNUMBER(SEARCH(CategoriesConfig!E$3:E$12,$B257)))&gt;0</f>
        <v>0</v>
      </c>
      <c r="L257" s="6" t="b">
        <f>SUMPRODUCT(--ISNUMBER(SEARCH(CategoriesConfig!F$3:F$12,$B257)))&gt;0</f>
        <v>1</v>
      </c>
      <c r="M257" s="6" t="b">
        <f>SUMPRODUCT(--ISNUMBER(SEARCH(CategoriesConfig!G$3:G$12,$B257)))&gt;0</f>
        <v>0</v>
      </c>
      <c r="N257" s="6" t="b">
        <f>SUMPRODUCT(--ISNUMBER(SEARCH(CategoriesConfig!H$3:H$12,$B257)))&gt;0</f>
        <v>0</v>
      </c>
      <c r="O257" s="6" t="b">
        <f>SUMPRODUCT(--ISNUMBER(SEARCH(CategoriesConfig!I$3:I$12,$B257)))&gt;0</f>
        <v>0</v>
      </c>
      <c r="P257" s="22" t="b">
        <f t="shared" si="13"/>
        <v>0</v>
      </c>
      <c r="Q257" s="22">
        <f t="shared" si="14"/>
        <v>7</v>
      </c>
      <c r="S257" s="6" t="str">
        <f t="shared" si="10"/>
        <v>F</v>
      </c>
    </row>
    <row r="258" spans="1:19" ht="13.5" thickBot="1" x14ac:dyDescent="0.25">
      <c r="A258" s="4">
        <f>DATEVALUE(DataIn!A278)</f>
        <v>42936</v>
      </c>
      <c r="B258" s="5" t="str">
        <f>DataIn!B278</f>
        <v>POS 512967XXXXXX4422 ZES*UBER INDIA S POS DEBIT</v>
      </c>
      <c r="C258" s="5" t="str">
        <f>DataIn!C278</f>
        <v>0000720160051405</v>
      </c>
      <c r="D258" s="5" t="str">
        <f>DataIn!D278</f>
        <v>20/07/17</v>
      </c>
      <c r="E258" s="5">
        <f>DataIn!E278</f>
        <v>175.21</v>
      </c>
      <c r="F258" s="5">
        <f>DataIn!F278</f>
        <v>0</v>
      </c>
      <c r="G258" s="5">
        <f>DataIn!G278</f>
        <v>159563.35</v>
      </c>
      <c r="H258" s="6" t="b">
        <f>SUMPRODUCT(--ISNUMBER(SEARCH(CategoriesConfig!B$3:B$12,$B258)))&gt;0</f>
        <v>0</v>
      </c>
      <c r="I258" s="6" t="b">
        <f>SUMPRODUCT(--ISNUMBER(SEARCH(CategoriesConfig!C$3:C$12,$B258)))&gt;0</f>
        <v>1</v>
      </c>
      <c r="J258" s="6" t="b">
        <f>SUMPRODUCT(--ISNUMBER(SEARCH(CategoriesConfig!D$3:D$12,$B258)))&gt;0</f>
        <v>0</v>
      </c>
      <c r="K258" s="6" t="b">
        <f>SUMPRODUCT(--ISNUMBER(SEARCH(CategoriesConfig!E$3:E$12,$B258)))&gt;0</f>
        <v>0</v>
      </c>
      <c r="L258" s="6" t="b">
        <f>SUMPRODUCT(--ISNUMBER(SEARCH(CategoriesConfig!F$3:F$12,$B258)))&gt;0</f>
        <v>0</v>
      </c>
      <c r="M258" s="6" t="b">
        <f>SUMPRODUCT(--ISNUMBER(SEARCH(CategoriesConfig!G$3:G$12,$B258)))&gt;0</f>
        <v>0</v>
      </c>
      <c r="N258" s="6" t="b">
        <f>SUMPRODUCT(--ISNUMBER(SEARCH(CategoriesConfig!H$3:H$12,$B258)))&gt;0</f>
        <v>0</v>
      </c>
      <c r="O258" s="6" t="b">
        <f>SUMPRODUCT(--ISNUMBER(SEARCH(CategoriesConfig!I$3:I$12,$B258)))&gt;0</f>
        <v>0</v>
      </c>
      <c r="P258" s="22" t="b">
        <f t="shared" si="13"/>
        <v>0</v>
      </c>
      <c r="Q258" s="22">
        <f t="shared" si="14"/>
        <v>7</v>
      </c>
      <c r="S258" s="6" t="str">
        <f t="shared" si="10"/>
        <v>U</v>
      </c>
    </row>
    <row r="259" spans="1:19" ht="13.5" thickBot="1" x14ac:dyDescent="0.25">
      <c r="A259" s="4">
        <f>DATEVALUE(DataIn!A279)</f>
        <v>42936</v>
      </c>
      <c r="B259" s="5" t="str">
        <f>DataIn!B279</f>
        <v>ATW-512967XXXXXX4422-S1AWHP18-BANGALORE-URB</v>
      </c>
      <c r="C259" s="5" t="str">
        <f>DataIn!C279</f>
        <v>0000000000005032</v>
      </c>
      <c r="D259" s="5" t="str">
        <f>DataIn!D279</f>
        <v>20/07/17</v>
      </c>
      <c r="E259" s="5">
        <f>DataIn!E279</f>
        <v>7000</v>
      </c>
      <c r="F259" s="5">
        <f>DataIn!F279</f>
        <v>0</v>
      </c>
      <c r="G259" s="5">
        <f>DataIn!G279</f>
        <v>152563.35</v>
      </c>
      <c r="H259" s="6" t="b">
        <f>SUMPRODUCT(--ISNUMBER(SEARCH(CategoriesConfig!B$3:B$12,$B259)))&gt;0</f>
        <v>0</v>
      </c>
      <c r="I259" s="6" t="b">
        <f>SUMPRODUCT(--ISNUMBER(SEARCH(CategoriesConfig!C$3:C$12,$B259)))&gt;0</f>
        <v>0</v>
      </c>
      <c r="J259" s="6" t="b">
        <f>SUMPRODUCT(--ISNUMBER(SEARCH(CategoriesConfig!D$3:D$12,$B259)))&gt;0</f>
        <v>0</v>
      </c>
      <c r="K259" s="6" t="b">
        <f>SUMPRODUCT(--ISNUMBER(SEARCH(CategoriesConfig!E$3:E$12,$B259)))&gt;0</f>
        <v>0</v>
      </c>
      <c r="L259" s="6" t="b">
        <f>SUMPRODUCT(--ISNUMBER(SEARCH(CategoriesConfig!F$3:F$12,$B259)))&gt;0</f>
        <v>0</v>
      </c>
      <c r="M259" s="6" t="b">
        <f>SUMPRODUCT(--ISNUMBER(SEARCH(CategoriesConfig!G$3:G$12,$B259)))&gt;0</f>
        <v>0</v>
      </c>
      <c r="N259" s="6" t="b">
        <f>SUMPRODUCT(--ISNUMBER(SEARCH(CategoriesConfig!H$3:H$12,$B259)))&gt;0</f>
        <v>1</v>
      </c>
      <c r="O259" s="6" t="b">
        <f>SUMPRODUCT(--ISNUMBER(SEARCH(CategoriesConfig!I$3:I$12,$B259)))&gt;0</f>
        <v>0</v>
      </c>
      <c r="P259" s="22" t="b">
        <f t="shared" si="13"/>
        <v>0</v>
      </c>
      <c r="Q259" s="22">
        <f t="shared" si="14"/>
        <v>7</v>
      </c>
      <c r="S259" s="6" t="str">
        <f t="shared" ref="S259:S322" si="15">IF(ISBLANK(R259),INDEX(H$2:P$917,1,SUMIF(H259:P259,"TRUE",H$1:P$1)),R259)</f>
        <v>C</v>
      </c>
    </row>
    <row r="260" spans="1:19" ht="13.5" thickBot="1" x14ac:dyDescent="0.25">
      <c r="A260" s="4">
        <f>DATEVALUE(DataIn!A280)</f>
        <v>42936</v>
      </c>
      <c r="B260" s="5" t="str">
        <f>DataIn!B280</f>
        <v>POS 512967XXXXXX4422 CELEBRATIONS, POS DEBIT</v>
      </c>
      <c r="C260" s="5" t="str">
        <f>DataIn!C280</f>
        <v>0000000000001716</v>
      </c>
      <c r="D260" s="5" t="str">
        <f>DataIn!D280</f>
        <v>20/07/17</v>
      </c>
      <c r="E260" s="5">
        <f>DataIn!E280</f>
        <v>94</v>
      </c>
      <c r="F260" s="5">
        <f>DataIn!F280</f>
        <v>0</v>
      </c>
      <c r="G260" s="5">
        <f>DataIn!G280</f>
        <v>152469.35</v>
      </c>
      <c r="H260" s="6" t="b">
        <f>SUMPRODUCT(--ISNUMBER(SEARCH(CategoriesConfig!B$3:B$12,$B260)))&gt;0</f>
        <v>0</v>
      </c>
      <c r="I260" s="6" t="b">
        <f>SUMPRODUCT(--ISNUMBER(SEARCH(CategoriesConfig!C$3:C$12,$B260)))&gt;0</f>
        <v>0</v>
      </c>
      <c r="J260" s="6" t="b">
        <f>SUMPRODUCT(--ISNUMBER(SEARCH(CategoriesConfig!D$3:D$12,$B260)))&gt;0</f>
        <v>1</v>
      </c>
      <c r="K260" s="6" t="b">
        <f>SUMPRODUCT(--ISNUMBER(SEARCH(CategoriesConfig!E$3:E$12,$B260)))&gt;0</f>
        <v>0</v>
      </c>
      <c r="L260" s="6" t="b">
        <f>SUMPRODUCT(--ISNUMBER(SEARCH(CategoriesConfig!F$3:F$12,$B260)))&gt;0</f>
        <v>0</v>
      </c>
      <c r="M260" s="6" t="b">
        <f>SUMPRODUCT(--ISNUMBER(SEARCH(CategoriesConfig!G$3:G$12,$B260)))&gt;0</f>
        <v>0</v>
      </c>
      <c r="N260" s="6" t="b">
        <f>SUMPRODUCT(--ISNUMBER(SEARCH(CategoriesConfig!H$3:H$12,$B260)))&gt;0</f>
        <v>0</v>
      </c>
      <c r="O260" s="6" t="b">
        <f>SUMPRODUCT(--ISNUMBER(SEARCH(CategoriesConfig!I$3:I$12,$B260)))&gt;0</f>
        <v>0</v>
      </c>
      <c r="P260" s="22" t="b">
        <f t="shared" si="13"/>
        <v>0</v>
      </c>
      <c r="Q260" s="22">
        <f t="shared" si="14"/>
        <v>7</v>
      </c>
      <c r="S260" s="6" t="str">
        <f t="shared" si="15"/>
        <v>L</v>
      </c>
    </row>
    <row r="261" spans="1:19" ht="13.5" thickBot="1" x14ac:dyDescent="0.25">
      <c r="A261" s="4">
        <f>DATEVALUE(DataIn!A281)</f>
        <v>42937</v>
      </c>
      <c r="B261" s="5" t="str">
        <f>DataIn!B281</f>
        <v>POS 512967XXXXXX4422 CELEBRATIONS, POS DEBIT</v>
      </c>
      <c r="C261" s="5" t="str">
        <f>DataIn!C281</f>
        <v>0000000000021403</v>
      </c>
      <c r="D261" s="5" t="str">
        <f>DataIn!D281</f>
        <v>21/07/17</v>
      </c>
      <c r="E261" s="5">
        <f>DataIn!E281</f>
        <v>94</v>
      </c>
      <c r="F261" s="5">
        <f>DataIn!F281</f>
        <v>0</v>
      </c>
      <c r="G261" s="5">
        <f>DataIn!G281</f>
        <v>152375.35</v>
      </c>
      <c r="H261" s="6" t="b">
        <f>SUMPRODUCT(--ISNUMBER(SEARCH(CategoriesConfig!B$3:B$12,$B261)))&gt;0</f>
        <v>0</v>
      </c>
      <c r="I261" s="6" t="b">
        <f>SUMPRODUCT(--ISNUMBER(SEARCH(CategoriesConfig!C$3:C$12,$B261)))&gt;0</f>
        <v>0</v>
      </c>
      <c r="J261" s="6" t="b">
        <f>SUMPRODUCT(--ISNUMBER(SEARCH(CategoriesConfig!D$3:D$12,$B261)))&gt;0</f>
        <v>1</v>
      </c>
      <c r="K261" s="6" t="b">
        <f>SUMPRODUCT(--ISNUMBER(SEARCH(CategoriesConfig!E$3:E$12,$B261)))&gt;0</f>
        <v>0</v>
      </c>
      <c r="L261" s="6" t="b">
        <f>SUMPRODUCT(--ISNUMBER(SEARCH(CategoriesConfig!F$3:F$12,$B261)))&gt;0</f>
        <v>0</v>
      </c>
      <c r="M261" s="6" t="b">
        <f>SUMPRODUCT(--ISNUMBER(SEARCH(CategoriesConfig!G$3:G$12,$B261)))&gt;0</f>
        <v>0</v>
      </c>
      <c r="N261" s="6" t="b">
        <f>SUMPRODUCT(--ISNUMBER(SEARCH(CategoriesConfig!H$3:H$12,$B261)))&gt;0</f>
        <v>0</v>
      </c>
      <c r="O261" s="6" t="b">
        <f>SUMPRODUCT(--ISNUMBER(SEARCH(CategoriesConfig!I$3:I$12,$B261)))&gt;0</f>
        <v>0</v>
      </c>
      <c r="P261" s="22" t="b">
        <f t="shared" si="13"/>
        <v>0</v>
      </c>
      <c r="Q261" s="22">
        <f t="shared" si="14"/>
        <v>7</v>
      </c>
      <c r="S261" s="6" t="str">
        <f t="shared" si="15"/>
        <v>L</v>
      </c>
    </row>
    <row r="262" spans="1:19" ht="13.5" thickBot="1" x14ac:dyDescent="0.25">
      <c r="A262" s="4">
        <f>DATEVALUE(DataIn!A282)</f>
        <v>42938</v>
      </c>
      <c r="B262" s="5" t="str">
        <f>DataIn!B282</f>
        <v>POS 512967XXXXXX4422 ZES*UBER INDIA S POS DEBIT</v>
      </c>
      <c r="C262" s="5" t="str">
        <f>DataIn!C282</f>
        <v>0000720340015568</v>
      </c>
      <c r="D262" s="5" t="str">
        <f>DataIn!D282</f>
        <v>22/07/17</v>
      </c>
      <c r="E262" s="5">
        <f>DataIn!E282</f>
        <v>168.75</v>
      </c>
      <c r="F262" s="5">
        <f>DataIn!F282</f>
        <v>0</v>
      </c>
      <c r="G262" s="5">
        <f>DataIn!G282</f>
        <v>152206.6</v>
      </c>
      <c r="H262" s="6" t="b">
        <f>SUMPRODUCT(--ISNUMBER(SEARCH(CategoriesConfig!B$3:B$12,$B262)))&gt;0</f>
        <v>0</v>
      </c>
      <c r="I262" s="6" t="b">
        <f>SUMPRODUCT(--ISNUMBER(SEARCH(CategoriesConfig!C$3:C$12,$B262)))&gt;0</f>
        <v>1</v>
      </c>
      <c r="J262" s="6" t="b">
        <f>SUMPRODUCT(--ISNUMBER(SEARCH(CategoriesConfig!D$3:D$12,$B262)))&gt;0</f>
        <v>0</v>
      </c>
      <c r="K262" s="6" t="b">
        <f>SUMPRODUCT(--ISNUMBER(SEARCH(CategoriesConfig!E$3:E$12,$B262)))&gt;0</f>
        <v>0</v>
      </c>
      <c r="L262" s="6" t="b">
        <f>SUMPRODUCT(--ISNUMBER(SEARCH(CategoriesConfig!F$3:F$12,$B262)))&gt;0</f>
        <v>0</v>
      </c>
      <c r="M262" s="6" t="b">
        <f>SUMPRODUCT(--ISNUMBER(SEARCH(CategoriesConfig!G$3:G$12,$B262)))&gt;0</f>
        <v>0</v>
      </c>
      <c r="N262" s="6" t="b">
        <f>SUMPRODUCT(--ISNUMBER(SEARCH(CategoriesConfig!H$3:H$12,$B262)))&gt;0</f>
        <v>0</v>
      </c>
      <c r="O262" s="6" t="b">
        <f>SUMPRODUCT(--ISNUMBER(SEARCH(CategoriesConfig!I$3:I$12,$B262)))&gt;0</f>
        <v>0</v>
      </c>
      <c r="P262" s="22" t="b">
        <f t="shared" si="13"/>
        <v>0</v>
      </c>
      <c r="Q262" s="22">
        <f t="shared" si="14"/>
        <v>7</v>
      </c>
      <c r="S262" s="6" t="str">
        <f t="shared" si="15"/>
        <v>U</v>
      </c>
    </row>
    <row r="263" spans="1:19" ht="13.5" thickBot="1" x14ac:dyDescent="0.25">
      <c r="A263" s="4">
        <f>DATEVALUE(DataIn!A283)</f>
        <v>42938</v>
      </c>
      <c r="B263" s="5" t="str">
        <f>DataIn!B283</f>
        <v>POS 512967XXXXXX4422 PAYU-WWW.SWIGGY. POS DEBIT</v>
      </c>
      <c r="C263" s="5" t="str">
        <f>DataIn!C283</f>
        <v>0000030009588925</v>
      </c>
      <c r="D263" s="5" t="str">
        <f>DataIn!D283</f>
        <v>22/07/17</v>
      </c>
      <c r="E263" s="5">
        <f>DataIn!E283</f>
        <v>910</v>
      </c>
      <c r="F263" s="5">
        <f>DataIn!F283</f>
        <v>0</v>
      </c>
      <c r="G263" s="5">
        <f>DataIn!G283</f>
        <v>151296.6</v>
      </c>
      <c r="H263" s="6" t="b">
        <f>SUMPRODUCT(--ISNUMBER(SEARCH(CategoriesConfig!B$3:B$12,$B263)))&gt;0</f>
        <v>0</v>
      </c>
      <c r="I263" s="6" t="b">
        <f>SUMPRODUCT(--ISNUMBER(SEARCH(CategoriesConfig!C$3:C$12,$B263)))&gt;0</f>
        <v>0</v>
      </c>
      <c r="J263" s="6" t="b">
        <f>SUMPRODUCT(--ISNUMBER(SEARCH(CategoriesConfig!D$3:D$12,$B263)))&gt;0</f>
        <v>0</v>
      </c>
      <c r="K263" s="6" t="b">
        <f>SUMPRODUCT(--ISNUMBER(SEARCH(CategoriesConfig!E$3:E$12,$B263)))&gt;0</f>
        <v>0</v>
      </c>
      <c r="L263" s="6" t="b">
        <f>SUMPRODUCT(--ISNUMBER(SEARCH(CategoriesConfig!F$3:F$12,$B263)))&gt;0</f>
        <v>1</v>
      </c>
      <c r="M263" s="6" t="b">
        <f>SUMPRODUCT(--ISNUMBER(SEARCH(CategoriesConfig!G$3:G$12,$B263)))&gt;0</f>
        <v>0</v>
      </c>
      <c r="N263" s="6" t="b">
        <f>SUMPRODUCT(--ISNUMBER(SEARCH(CategoriesConfig!H$3:H$12,$B263)))&gt;0</f>
        <v>0</v>
      </c>
      <c r="O263" s="6" t="b">
        <f>SUMPRODUCT(--ISNUMBER(SEARCH(CategoriesConfig!I$3:I$12,$B263)))&gt;0</f>
        <v>0</v>
      </c>
      <c r="P263" s="22" t="b">
        <f t="shared" si="13"/>
        <v>0</v>
      </c>
      <c r="Q263" s="22">
        <f t="shared" si="14"/>
        <v>7</v>
      </c>
      <c r="S263" s="6" t="str">
        <f t="shared" si="15"/>
        <v>F</v>
      </c>
    </row>
    <row r="264" spans="1:19" ht="13.5" thickBot="1" x14ac:dyDescent="0.25">
      <c r="A264" s="4">
        <f>DATEVALUE(DataIn!A284)</f>
        <v>42939</v>
      </c>
      <c r="B264" s="5" t="str">
        <f>DataIn!B284</f>
        <v>POS 512967XXXXXX4422 ZES*UBER INDIA S POS DEBIT</v>
      </c>
      <c r="C264" s="5" t="str">
        <f>DataIn!C284</f>
        <v>0000720460020709</v>
      </c>
      <c r="D264" s="5" t="str">
        <f>DataIn!D284</f>
        <v>23/07/17</v>
      </c>
      <c r="E264" s="5">
        <f>DataIn!E284</f>
        <v>235.85</v>
      </c>
      <c r="F264" s="5">
        <f>DataIn!F284</f>
        <v>0</v>
      </c>
      <c r="G264" s="5">
        <f>DataIn!G284</f>
        <v>151060.75</v>
      </c>
      <c r="H264" s="6" t="b">
        <f>SUMPRODUCT(--ISNUMBER(SEARCH(CategoriesConfig!B$3:B$12,$B264)))&gt;0</f>
        <v>0</v>
      </c>
      <c r="I264" s="6" t="b">
        <f>SUMPRODUCT(--ISNUMBER(SEARCH(CategoriesConfig!C$3:C$12,$B264)))&gt;0</f>
        <v>1</v>
      </c>
      <c r="J264" s="6" t="b">
        <f>SUMPRODUCT(--ISNUMBER(SEARCH(CategoriesConfig!D$3:D$12,$B264)))&gt;0</f>
        <v>0</v>
      </c>
      <c r="K264" s="6" t="b">
        <f>SUMPRODUCT(--ISNUMBER(SEARCH(CategoriesConfig!E$3:E$12,$B264)))&gt;0</f>
        <v>0</v>
      </c>
      <c r="L264" s="6" t="b">
        <f>SUMPRODUCT(--ISNUMBER(SEARCH(CategoriesConfig!F$3:F$12,$B264)))&gt;0</f>
        <v>0</v>
      </c>
      <c r="M264" s="6" t="b">
        <f>SUMPRODUCT(--ISNUMBER(SEARCH(CategoriesConfig!G$3:G$12,$B264)))&gt;0</f>
        <v>0</v>
      </c>
      <c r="N264" s="6" t="b">
        <f>SUMPRODUCT(--ISNUMBER(SEARCH(CategoriesConfig!H$3:H$12,$B264)))&gt;0</f>
        <v>0</v>
      </c>
      <c r="O264" s="6" t="b">
        <f>SUMPRODUCT(--ISNUMBER(SEARCH(CategoriesConfig!I$3:I$12,$B264)))&gt;0</f>
        <v>0</v>
      </c>
      <c r="P264" s="22" t="b">
        <f t="shared" si="13"/>
        <v>0</v>
      </c>
      <c r="Q264" s="22">
        <f t="shared" si="14"/>
        <v>7</v>
      </c>
      <c r="S264" s="6" t="str">
        <f t="shared" si="15"/>
        <v>U</v>
      </c>
    </row>
    <row r="265" spans="1:19" ht="13.5" thickBot="1" x14ac:dyDescent="0.25">
      <c r="A265" s="4">
        <f>DATEVALUE(DataIn!A285)</f>
        <v>42939</v>
      </c>
      <c r="B265" s="5" t="str">
        <f>DataIn!B285</f>
        <v>POS 512967XXXXXX4422 INDIAN PARANTHA POS DEBIT</v>
      </c>
      <c r="C265" s="5" t="str">
        <f>DataIn!C285</f>
        <v>0000000000010197</v>
      </c>
      <c r="D265" s="5" t="str">
        <f>DataIn!D285</f>
        <v>23/07/17</v>
      </c>
      <c r="E265" s="5">
        <f>DataIn!E285</f>
        <v>308</v>
      </c>
      <c r="F265" s="5">
        <f>DataIn!F285</f>
        <v>0</v>
      </c>
      <c r="G265" s="5">
        <f>DataIn!G285</f>
        <v>150752.75</v>
      </c>
      <c r="H265" s="6" t="b">
        <f>SUMPRODUCT(--ISNUMBER(SEARCH(CategoriesConfig!B$3:B$12,$B265)))&gt;0</f>
        <v>0</v>
      </c>
      <c r="I265" s="6" t="b">
        <f>SUMPRODUCT(--ISNUMBER(SEARCH(CategoriesConfig!C$3:C$12,$B265)))&gt;0</f>
        <v>0</v>
      </c>
      <c r="J265" s="6" t="b">
        <f>SUMPRODUCT(--ISNUMBER(SEARCH(CategoriesConfig!D$3:D$12,$B265)))&gt;0</f>
        <v>0</v>
      </c>
      <c r="K265" s="6" t="b">
        <f>SUMPRODUCT(--ISNUMBER(SEARCH(CategoriesConfig!E$3:E$12,$B265)))&gt;0</f>
        <v>0</v>
      </c>
      <c r="L265" s="6" t="b">
        <f>SUMPRODUCT(--ISNUMBER(SEARCH(CategoriesConfig!F$3:F$12,$B265)))&gt;0</f>
        <v>0</v>
      </c>
      <c r="M265" s="6" t="b">
        <f>SUMPRODUCT(--ISNUMBER(SEARCH(CategoriesConfig!G$3:G$12,$B265)))&gt;0</f>
        <v>0</v>
      </c>
      <c r="N265" s="6" t="b">
        <f>SUMPRODUCT(--ISNUMBER(SEARCH(CategoriesConfig!H$3:H$12,$B265)))&gt;0</f>
        <v>0</v>
      </c>
      <c r="O265" s="6" t="b">
        <f>SUMPRODUCT(--ISNUMBER(SEARCH(CategoriesConfig!I$3:I$12,$B265)))&gt;0</f>
        <v>0</v>
      </c>
      <c r="P265" s="22" t="b">
        <f t="shared" si="13"/>
        <v>1</v>
      </c>
      <c r="Q265" s="22">
        <f t="shared" si="14"/>
        <v>7</v>
      </c>
      <c r="R265" t="s">
        <v>221</v>
      </c>
      <c r="S265" s="6" t="str">
        <f t="shared" si="15"/>
        <v>F</v>
      </c>
    </row>
    <row r="266" spans="1:19" ht="13.5" thickBot="1" x14ac:dyDescent="0.25">
      <c r="A266" s="4">
        <f>DATEVALUE(DataIn!A286)</f>
        <v>42939</v>
      </c>
      <c r="B266" s="5" t="str">
        <f>DataIn!B286</f>
        <v>POS 512967XXXXXX4422 ZES*UBER INDIA S POS DEBIT</v>
      </c>
      <c r="C266" s="5" t="str">
        <f>DataIn!C286</f>
        <v>0000720400105841</v>
      </c>
      <c r="D266" s="5" t="str">
        <f>DataIn!D286</f>
        <v>23/07/17</v>
      </c>
      <c r="E266" s="5">
        <f>DataIn!E286</f>
        <v>33.57</v>
      </c>
      <c r="F266" s="5">
        <f>DataIn!F286</f>
        <v>0</v>
      </c>
      <c r="G266" s="5">
        <f>DataIn!G286</f>
        <v>150719.18</v>
      </c>
      <c r="H266" s="6" t="b">
        <f>SUMPRODUCT(--ISNUMBER(SEARCH(CategoriesConfig!B$3:B$12,$B266)))&gt;0</f>
        <v>0</v>
      </c>
      <c r="I266" s="6" t="b">
        <f>SUMPRODUCT(--ISNUMBER(SEARCH(CategoriesConfig!C$3:C$12,$B266)))&gt;0</f>
        <v>1</v>
      </c>
      <c r="J266" s="6" t="b">
        <f>SUMPRODUCT(--ISNUMBER(SEARCH(CategoriesConfig!D$3:D$12,$B266)))&gt;0</f>
        <v>0</v>
      </c>
      <c r="K266" s="6" t="b">
        <f>SUMPRODUCT(--ISNUMBER(SEARCH(CategoriesConfig!E$3:E$12,$B266)))&gt;0</f>
        <v>0</v>
      </c>
      <c r="L266" s="6" t="b">
        <f>SUMPRODUCT(--ISNUMBER(SEARCH(CategoriesConfig!F$3:F$12,$B266)))&gt;0</f>
        <v>0</v>
      </c>
      <c r="M266" s="6" t="b">
        <f>SUMPRODUCT(--ISNUMBER(SEARCH(CategoriesConfig!G$3:G$12,$B266)))&gt;0</f>
        <v>0</v>
      </c>
      <c r="N266" s="6" t="b">
        <f>SUMPRODUCT(--ISNUMBER(SEARCH(CategoriesConfig!H$3:H$12,$B266)))&gt;0</f>
        <v>0</v>
      </c>
      <c r="O266" s="6" t="b">
        <f>SUMPRODUCT(--ISNUMBER(SEARCH(CategoriesConfig!I$3:I$12,$B266)))&gt;0</f>
        <v>0</v>
      </c>
      <c r="P266" s="22" t="b">
        <f t="shared" si="13"/>
        <v>0</v>
      </c>
      <c r="Q266" s="22">
        <f t="shared" si="14"/>
        <v>7</v>
      </c>
      <c r="S266" s="6" t="str">
        <f t="shared" si="15"/>
        <v>U</v>
      </c>
    </row>
    <row r="267" spans="1:19" ht="13.5" thickBot="1" x14ac:dyDescent="0.25">
      <c r="A267" s="4">
        <f>DATEVALUE(DataIn!A287)</f>
        <v>42939</v>
      </c>
      <c r="B267" s="5" t="str">
        <f>DataIn!B287</f>
        <v>POS 512967XXXXXX4422 PTM*ONE97 COMMUN POS DEBIT</v>
      </c>
      <c r="C267" s="5" t="str">
        <f>DataIn!C287</f>
        <v>0000720460231448</v>
      </c>
      <c r="D267" s="5" t="str">
        <f>DataIn!D287</f>
        <v>23/07/17</v>
      </c>
      <c r="E267" s="5">
        <f>DataIn!E287</f>
        <v>95</v>
      </c>
      <c r="F267" s="5">
        <f>DataIn!F287</f>
        <v>0</v>
      </c>
      <c r="G267" s="5">
        <f>DataIn!G287</f>
        <v>150624.18</v>
      </c>
      <c r="H267" s="6" t="b">
        <f>SUMPRODUCT(--ISNUMBER(SEARCH(CategoriesConfig!B$3:B$12,$B267)))&gt;0</f>
        <v>0</v>
      </c>
      <c r="I267" s="6" t="b">
        <f>SUMPRODUCT(--ISNUMBER(SEARCH(CategoriesConfig!C$3:C$12,$B267)))&gt;0</f>
        <v>0</v>
      </c>
      <c r="J267" s="6" t="b">
        <f>SUMPRODUCT(--ISNUMBER(SEARCH(CategoriesConfig!D$3:D$12,$B267)))&gt;0</f>
        <v>0</v>
      </c>
      <c r="K267" s="6" t="b">
        <f>SUMPRODUCT(--ISNUMBER(SEARCH(CategoriesConfig!E$3:E$12,$B267)))&gt;0</f>
        <v>0</v>
      </c>
      <c r="L267" s="6" t="b">
        <f>SUMPRODUCT(--ISNUMBER(SEARCH(CategoriesConfig!F$3:F$12,$B267)))&gt;0</f>
        <v>0</v>
      </c>
      <c r="M267" s="6" t="b">
        <f>SUMPRODUCT(--ISNUMBER(SEARCH(CategoriesConfig!G$3:G$12,$B267)))&gt;0</f>
        <v>0</v>
      </c>
      <c r="N267" s="6" t="b">
        <f>SUMPRODUCT(--ISNUMBER(SEARCH(CategoriesConfig!H$3:H$12,$B267)))&gt;0</f>
        <v>0</v>
      </c>
      <c r="O267" s="6" t="b">
        <f>SUMPRODUCT(--ISNUMBER(SEARCH(CategoriesConfig!I$3:I$12,$B267)))&gt;0</f>
        <v>0</v>
      </c>
      <c r="P267" s="22" t="b">
        <f t="shared" si="13"/>
        <v>1</v>
      </c>
      <c r="Q267" s="22">
        <f t="shared" si="14"/>
        <v>7</v>
      </c>
      <c r="R267" t="s">
        <v>223</v>
      </c>
      <c r="S267" s="6" t="str">
        <f t="shared" si="15"/>
        <v>M</v>
      </c>
    </row>
    <row r="268" spans="1:19" ht="13.5" thickBot="1" x14ac:dyDescent="0.25">
      <c r="A268" s="4">
        <f>DATEVALUE(DataIn!A288)</f>
        <v>42939</v>
      </c>
      <c r="B268" s="5" t="str">
        <f>DataIn!B288</f>
        <v>POS 512967XXXXXX4422 PTM*ONE97 COMMUN POS DEBIT</v>
      </c>
      <c r="C268" s="5" t="str">
        <f>DataIn!C288</f>
        <v>0000720460232680</v>
      </c>
      <c r="D268" s="5" t="str">
        <f>DataIn!D288</f>
        <v>23/07/17</v>
      </c>
      <c r="E268" s="5">
        <f>DataIn!E288</f>
        <v>815</v>
      </c>
      <c r="F268" s="5">
        <f>DataIn!F288</f>
        <v>0</v>
      </c>
      <c r="G268" s="5">
        <f>DataIn!G288</f>
        <v>149809.18</v>
      </c>
      <c r="H268" s="6" t="b">
        <f>SUMPRODUCT(--ISNUMBER(SEARCH(CategoriesConfig!B$3:B$12,$B268)))&gt;0</f>
        <v>0</v>
      </c>
      <c r="I268" s="6" t="b">
        <f>SUMPRODUCT(--ISNUMBER(SEARCH(CategoriesConfig!C$3:C$12,$B268)))&gt;0</f>
        <v>0</v>
      </c>
      <c r="J268" s="6" t="b">
        <f>SUMPRODUCT(--ISNUMBER(SEARCH(CategoriesConfig!D$3:D$12,$B268)))&gt;0</f>
        <v>0</v>
      </c>
      <c r="K268" s="6" t="b">
        <f>SUMPRODUCT(--ISNUMBER(SEARCH(CategoriesConfig!E$3:E$12,$B268)))&gt;0</f>
        <v>0</v>
      </c>
      <c r="L268" s="6" t="b">
        <f>SUMPRODUCT(--ISNUMBER(SEARCH(CategoriesConfig!F$3:F$12,$B268)))&gt;0</f>
        <v>0</v>
      </c>
      <c r="M268" s="6" t="b">
        <f>SUMPRODUCT(--ISNUMBER(SEARCH(CategoriesConfig!G$3:G$12,$B268)))&gt;0</f>
        <v>0</v>
      </c>
      <c r="N268" s="6" t="b">
        <f>SUMPRODUCT(--ISNUMBER(SEARCH(CategoriesConfig!H$3:H$12,$B268)))&gt;0</f>
        <v>0</v>
      </c>
      <c r="O268" s="6" t="b">
        <f>SUMPRODUCT(--ISNUMBER(SEARCH(CategoriesConfig!I$3:I$12,$B268)))&gt;0</f>
        <v>0</v>
      </c>
      <c r="P268" s="22" t="b">
        <f t="shared" si="13"/>
        <v>1</v>
      </c>
      <c r="Q268" s="22">
        <f t="shared" si="14"/>
        <v>7</v>
      </c>
      <c r="R268" t="s">
        <v>223</v>
      </c>
      <c r="S268" s="6" t="str">
        <f t="shared" si="15"/>
        <v>M</v>
      </c>
    </row>
    <row r="269" spans="1:19" ht="13.5" thickBot="1" x14ac:dyDescent="0.25">
      <c r="A269" s="4">
        <f>DATEVALUE(DataIn!A289)</f>
        <v>42939</v>
      </c>
      <c r="B269" s="5" t="str">
        <f>DataIn!B289</f>
        <v>POS 512967XXXXXX4422 THE BULL RING POS DEBIT</v>
      </c>
      <c r="C269" s="5" t="str">
        <f>DataIn!C289</f>
        <v>0000000000174313</v>
      </c>
      <c r="D269" s="5" t="str">
        <f>DataIn!D289</f>
        <v>24/07/17</v>
      </c>
      <c r="E269" s="5">
        <f>DataIn!E289</f>
        <v>200</v>
      </c>
      <c r="F269" s="5">
        <f>DataIn!F289</f>
        <v>0</v>
      </c>
      <c r="G269" s="5">
        <f>DataIn!G289</f>
        <v>149609.18</v>
      </c>
      <c r="H269" s="6" t="b">
        <f>SUMPRODUCT(--ISNUMBER(SEARCH(CategoriesConfig!B$3:B$12,$B269)))&gt;0</f>
        <v>0</v>
      </c>
      <c r="I269" s="6" t="b">
        <f>SUMPRODUCT(--ISNUMBER(SEARCH(CategoriesConfig!C$3:C$12,$B269)))&gt;0</f>
        <v>0</v>
      </c>
      <c r="J269" s="6" t="b">
        <f>SUMPRODUCT(--ISNUMBER(SEARCH(CategoriesConfig!D$3:D$12,$B269)))&gt;0</f>
        <v>0</v>
      </c>
      <c r="K269" s="6" t="b">
        <f>SUMPRODUCT(--ISNUMBER(SEARCH(CategoriesConfig!E$3:E$12,$B269)))&gt;0</f>
        <v>0</v>
      </c>
      <c r="L269" s="6" t="b">
        <f>SUMPRODUCT(--ISNUMBER(SEARCH(CategoriesConfig!F$3:F$12,$B269)))&gt;0</f>
        <v>0</v>
      </c>
      <c r="M269" s="6" t="b">
        <f>SUMPRODUCT(--ISNUMBER(SEARCH(CategoriesConfig!G$3:G$12,$B269)))&gt;0</f>
        <v>1</v>
      </c>
      <c r="N269" s="6" t="b">
        <f>SUMPRODUCT(--ISNUMBER(SEARCH(CategoriesConfig!H$3:H$12,$B269)))&gt;0</f>
        <v>0</v>
      </c>
      <c r="O269" s="6" t="b">
        <f>SUMPRODUCT(--ISNUMBER(SEARCH(CategoriesConfig!I$3:I$12,$B269)))&gt;0</f>
        <v>0</v>
      </c>
      <c r="P269" s="22" t="b">
        <f t="shared" si="13"/>
        <v>0</v>
      </c>
      <c r="Q269" s="22">
        <f t="shared" si="14"/>
        <v>7</v>
      </c>
      <c r="S269" s="6" t="str">
        <f t="shared" si="15"/>
        <v>M</v>
      </c>
    </row>
    <row r="270" spans="1:19" ht="13.5" thickBot="1" x14ac:dyDescent="0.25">
      <c r="A270" s="4">
        <f>DATEVALUE(DataIn!A290)</f>
        <v>42939</v>
      </c>
      <c r="B270" s="5" t="str">
        <f>DataIn!B290</f>
        <v>POS 512967XXXXXX4422 ZES*UBER INDIA S POS DEBIT</v>
      </c>
      <c r="C270" s="5" t="str">
        <f>DataIn!C290</f>
        <v>0000720400195147</v>
      </c>
      <c r="D270" s="5" t="str">
        <f>DataIn!D290</f>
        <v>24/07/17</v>
      </c>
      <c r="E270" s="5">
        <f>DataIn!E290</f>
        <v>104.74</v>
      </c>
      <c r="F270" s="5">
        <f>DataIn!F290</f>
        <v>0</v>
      </c>
      <c r="G270" s="5">
        <f>DataIn!G290</f>
        <v>149504.44</v>
      </c>
      <c r="H270" s="6" t="b">
        <f>SUMPRODUCT(--ISNUMBER(SEARCH(CategoriesConfig!B$3:B$12,$B270)))&gt;0</f>
        <v>0</v>
      </c>
      <c r="I270" s="6" t="b">
        <f>SUMPRODUCT(--ISNUMBER(SEARCH(CategoriesConfig!C$3:C$12,$B270)))&gt;0</f>
        <v>1</v>
      </c>
      <c r="J270" s="6" t="b">
        <f>SUMPRODUCT(--ISNUMBER(SEARCH(CategoriesConfig!D$3:D$12,$B270)))&gt;0</f>
        <v>0</v>
      </c>
      <c r="K270" s="6" t="b">
        <f>SUMPRODUCT(--ISNUMBER(SEARCH(CategoriesConfig!E$3:E$12,$B270)))&gt;0</f>
        <v>0</v>
      </c>
      <c r="L270" s="6" t="b">
        <f>SUMPRODUCT(--ISNUMBER(SEARCH(CategoriesConfig!F$3:F$12,$B270)))&gt;0</f>
        <v>0</v>
      </c>
      <c r="M270" s="6" t="b">
        <f>SUMPRODUCT(--ISNUMBER(SEARCH(CategoriesConfig!G$3:G$12,$B270)))&gt;0</f>
        <v>0</v>
      </c>
      <c r="N270" s="6" t="b">
        <f>SUMPRODUCT(--ISNUMBER(SEARCH(CategoriesConfig!H$3:H$12,$B270)))&gt;0</f>
        <v>0</v>
      </c>
      <c r="O270" s="6" t="b">
        <f>SUMPRODUCT(--ISNUMBER(SEARCH(CategoriesConfig!I$3:I$12,$B270)))&gt;0</f>
        <v>0</v>
      </c>
      <c r="P270" s="22" t="b">
        <f t="shared" si="13"/>
        <v>0</v>
      </c>
      <c r="Q270" s="22">
        <f t="shared" si="14"/>
        <v>7</v>
      </c>
      <c r="S270" s="6" t="str">
        <f t="shared" si="15"/>
        <v>U</v>
      </c>
    </row>
    <row r="271" spans="1:19" ht="13.5" thickBot="1" x14ac:dyDescent="0.25">
      <c r="A271" s="4">
        <f>DATEVALUE(DataIn!A291)</f>
        <v>42940</v>
      </c>
      <c r="B271" s="5" t="str">
        <f>DataIn!B291</f>
        <v>POS 512967XXXXXX4422 ZES*UBER INDIA S POS DEBIT</v>
      </c>
      <c r="C271" s="5" t="str">
        <f>DataIn!C291</f>
        <v>0000720540060446</v>
      </c>
      <c r="D271" s="5" t="str">
        <f>DataIn!D291</f>
        <v>24/07/17</v>
      </c>
      <c r="E271" s="5">
        <f>DataIn!E291</f>
        <v>85.41</v>
      </c>
      <c r="F271" s="5">
        <f>DataIn!F291</f>
        <v>0</v>
      </c>
      <c r="G271" s="5">
        <f>DataIn!G291</f>
        <v>149419.03</v>
      </c>
      <c r="H271" s="6" t="b">
        <f>SUMPRODUCT(--ISNUMBER(SEARCH(CategoriesConfig!B$3:B$12,$B271)))&gt;0</f>
        <v>0</v>
      </c>
      <c r="I271" s="6" t="b">
        <f>SUMPRODUCT(--ISNUMBER(SEARCH(CategoriesConfig!C$3:C$12,$B271)))&gt;0</f>
        <v>1</v>
      </c>
      <c r="J271" s="6" t="b">
        <f>SUMPRODUCT(--ISNUMBER(SEARCH(CategoriesConfig!D$3:D$12,$B271)))&gt;0</f>
        <v>0</v>
      </c>
      <c r="K271" s="6" t="b">
        <f>SUMPRODUCT(--ISNUMBER(SEARCH(CategoriesConfig!E$3:E$12,$B271)))&gt;0</f>
        <v>0</v>
      </c>
      <c r="L271" s="6" t="b">
        <f>SUMPRODUCT(--ISNUMBER(SEARCH(CategoriesConfig!F$3:F$12,$B271)))&gt;0</f>
        <v>0</v>
      </c>
      <c r="M271" s="6" t="b">
        <f>SUMPRODUCT(--ISNUMBER(SEARCH(CategoriesConfig!G$3:G$12,$B271)))&gt;0</f>
        <v>0</v>
      </c>
      <c r="N271" s="6" t="b">
        <f>SUMPRODUCT(--ISNUMBER(SEARCH(CategoriesConfig!H$3:H$12,$B271)))&gt;0</f>
        <v>0</v>
      </c>
      <c r="O271" s="6" t="b">
        <f>SUMPRODUCT(--ISNUMBER(SEARCH(CategoriesConfig!I$3:I$12,$B271)))&gt;0</f>
        <v>0</v>
      </c>
      <c r="P271" s="22" t="b">
        <f t="shared" si="13"/>
        <v>0</v>
      </c>
      <c r="Q271" s="22">
        <f t="shared" si="14"/>
        <v>7</v>
      </c>
      <c r="S271" s="6" t="str">
        <f t="shared" si="15"/>
        <v>U</v>
      </c>
    </row>
    <row r="272" spans="1:19" ht="13.5" thickBot="1" x14ac:dyDescent="0.25">
      <c r="A272" s="4">
        <f>DATEVALUE(DataIn!A292)</f>
        <v>42940</v>
      </c>
      <c r="B272" s="5" t="str">
        <f>DataIn!B292</f>
        <v>POS 512967XXXXXX4422 CELEBRATIONS, POS DEBIT</v>
      </c>
      <c r="C272" s="5" t="str">
        <f>DataIn!C292</f>
        <v>0000000000021684</v>
      </c>
      <c r="D272" s="5" t="str">
        <f>DataIn!D292</f>
        <v>24/07/17</v>
      </c>
      <c r="E272" s="5">
        <f>DataIn!E292</f>
        <v>94</v>
      </c>
      <c r="F272" s="5">
        <f>DataIn!F292</f>
        <v>0</v>
      </c>
      <c r="G272" s="5">
        <f>DataIn!G292</f>
        <v>149325.03</v>
      </c>
      <c r="H272" s="6" t="b">
        <f>SUMPRODUCT(--ISNUMBER(SEARCH(CategoriesConfig!B$3:B$12,$B272)))&gt;0</f>
        <v>0</v>
      </c>
      <c r="I272" s="6" t="b">
        <f>SUMPRODUCT(--ISNUMBER(SEARCH(CategoriesConfig!C$3:C$12,$B272)))&gt;0</f>
        <v>0</v>
      </c>
      <c r="J272" s="6" t="b">
        <f>SUMPRODUCT(--ISNUMBER(SEARCH(CategoriesConfig!D$3:D$12,$B272)))&gt;0</f>
        <v>1</v>
      </c>
      <c r="K272" s="6" t="b">
        <f>SUMPRODUCT(--ISNUMBER(SEARCH(CategoriesConfig!E$3:E$12,$B272)))&gt;0</f>
        <v>0</v>
      </c>
      <c r="L272" s="6" t="b">
        <f>SUMPRODUCT(--ISNUMBER(SEARCH(CategoriesConfig!F$3:F$12,$B272)))&gt;0</f>
        <v>0</v>
      </c>
      <c r="M272" s="6" t="b">
        <f>SUMPRODUCT(--ISNUMBER(SEARCH(CategoriesConfig!G$3:G$12,$B272)))&gt;0</f>
        <v>0</v>
      </c>
      <c r="N272" s="6" t="b">
        <f>SUMPRODUCT(--ISNUMBER(SEARCH(CategoriesConfig!H$3:H$12,$B272)))&gt;0</f>
        <v>0</v>
      </c>
      <c r="O272" s="6" t="b">
        <f>SUMPRODUCT(--ISNUMBER(SEARCH(CategoriesConfig!I$3:I$12,$B272)))&gt;0</f>
        <v>0</v>
      </c>
      <c r="P272" s="22" t="b">
        <f t="shared" si="13"/>
        <v>0</v>
      </c>
      <c r="Q272" s="22">
        <f t="shared" si="14"/>
        <v>7</v>
      </c>
      <c r="S272" s="6" t="str">
        <f t="shared" si="15"/>
        <v>L</v>
      </c>
    </row>
    <row r="273" spans="1:19" ht="13.5" thickBot="1" x14ac:dyDescent="0.25">
      <c r="A273" s="4">
        <f>DATEVALUE(DataIn!A293)</f>
        <v>42940</v>
      </c>
      <c r="B273" s="5" t="str">
        <f>DataIn!B293</f>
        <v>POS 512967XXXXXX4422 ZES*UBER INDIA S POS DEBIT</v>
      </c>
      <c r="C273" s="5" t="str">
        <f>DataIn!C293</f>
        <v>0000720540256162</v>
      </c>
      <c r="D273" s="5" t="str">
        <f>DataIn!D293</f>
        <v>24/07/17</v>
      </c>
      <c r="E273" s="5">
        <f>DataIn!E293</f>
        <v>198.53</v>
      </c>
      <c r="F273" s="5">
        <f>DataIn!F293</f>
        <v>0</v>
      </c>
      <c r="G273" s="5">
        <f>DataIn!G293</f>
        <v>149126.5</v>
      </c>
      <c r="H273" s="6" t="b">
        <f>SUMPRODUCT(--ISNUMBER(SEARCH(CategoriesConfig!B$3:B$12,$B273)))&gt;0</f>
        <v>0</v>
      </c>
      <c r="I273" s="6" t="b">
        <f>SUMPRODUCT(--ISNUMBER(SEARCH(CategoriesConfig!C$3:C$12,$B273)))&gt;0</f>
        <v>1</v>
      </c>
      <c r="J273" s="6" t="b">
        <f>SUMPRODUCT(--ISNUMBER(SEARCH(CategoriesConfig!D$3:D$12,$B273)))&gt;0</f>
        <v>0</v>
      </c>
      <c r="K273" s="6" t="b">
        <f>SUMPRODUCT(--ISNUMBER(SEARCH(CategoriesConfig!E$3:E$12,$B273)))&gt;0</f>
        <v>0</v>
      </c>
      <c r="L273" s="6" t="b">
        <f>SUMPRODUCT(--ISNUMBER(SEARCH(CategoriesConfig!F$3:F$12,$B273)))&gt;0</f>
        <v>0</v>
      </c>
      <c r="M273" s="6" t="b">
        <f>SUMPRODUCT(--ISNUMBER(SEARCH(CategoriesConfig!G$3:G$12,$B273)))&gt;0</f>
        <v>0</v>
      </c>
      <c r="N273" s="6" t="b">
        <f>SUMPRODUCT(--ISNUMBER(SEARCH(CategoriesConfig!H$3:H$12,$B273)))&gt;0</f>
        <v>0</v>
      </c>
      <c r="O273" s="6" t="b">
        <f>SUMPRODUCT(--ISNUMBER(SEARCH(CategoriesConfig!I$3:I$12,$B273)))&gt;0</f>
        <v>0</v>
      </c>
      <c r="P273" s="22" t="b">
        <f t="shared" si="13"/>
        <v>0</v>
      </c>
      <c r="Q273" s="22">
        <f t="shared" si="14"/>
        <v>7</v>
      </c>
      <c r="S273" s="6" t="str">
        <f t="shared" si="15"/>
        <v>U</v>
      </c>
    </row>
    <row r="274" spans="1:19" ht="13.5" thickBot="1" x14ac:dyDescent="0.25">
      <c r="A274" s="4">
        <f>DATEVALUE(DataIn!A294)</f>
        <v>42940</v>
      </c>
      <c r="B274" s="5" t="str">
        <f>DataIn!B294</f>
        <v>POS 512967XXXXXX4422 ROYAL MART-RICHM POS DEBIT</v>
      </c>
      <c r="C274" s="5" t="str">
        <f>DataIn!C294</f>
        <v>0000000000172104</v>
      </c>
      <c r="D274" s="5" t="str">
        <f>DataIn!D294</f>
        <v>24/07/17</v>
      </c>
      <c r="E274" s="5">
        <f>DataIn!E294</f>
        <v>174</v>
      </c>
      <c r="F274" s="5">
        <f>DataIn!F294</f>
        <v>0</v>
      </c>
      <c r="G274" s="5">
        <f>DataIn!G294</f>
        <v>148952.5</v>
      </c>
      <c r="H274" s="6" t="b">
        <f>SUMPRODUCT(--ISNUMBER(SEARCH(CategoriesConfig!B$3:B$12,$B274)))&gt;0</f>
        <v>0</v>
      </c>
      <c r="I274" s="6" t="b">
        <f>SUMPRODUCT(--ISNUMBER(SEARCH(CategoriesConfig!C$3:C$12,$B274)))&gt;0</f>
        <v>0</v>
      </c>
      <c r="J274" s="6" t="b">
        <f>SUMPRODUCT(--ISNUMBER(SEARCH(CategoriesConfig!D$3:D$12,$B274)))&gt;0</f>
        <v>0</v>
      </c>
      <c r="K274" s="6" t="b">
        <f>SUMPRODUCT(--ISNUMBER(SEARCH(CategoriesConfig!E$3:E$12,$B274)))&gt;0</f>
        <v>0</v>
      </c>
      <c r="L274" s="6" t="b">
        <f>SUMPRODUCT(--ISNUMBER(SEARCH(CategoriesConfig!F$3:F$12,$B274)))&gt;0</f>
        <v>0</v>
      </c>
      <c r="M274" s="6" t="b">
        <f>SUMPRODUCT(--ISNUMBER(SEARCH(CategoriesConfig!G$3:G$12,$B274)))&gt;0</f>
        <v>1</v>
      </c>
      <c r="N274" s="6" t="b">
        <f>SUMPRODUCT(--ISNUMBER(SEARCH(CategoriesConfig!H$3:H$12,$B274)))&gt;0</f>
        <v>0</v>
      </c>
      <c r="O274" s="6" t="b">
        <f>SUMPRODUCT(--ISNUMBER(SEARCH(CategoriesConfig!I$3:I$12,$B274)))&gt;0</f>
        <v>0</v>
      </c>
      <c r="P274" s="22" t="b">
        <f t="shared" si="13"/>
        <v>0</v>
      </c>
      <c r="Q274" s="22">
        <f t="shared" si="14"/>
        <v>7</v>
      </c>
      <c r="S274" s="6" t="str">
        <f t="shared" si="15"/>
        <v>M</v>
      </c>
    </row>
    <row r="275" spans="1:19" ht="13.5" thickBot="1" x14ac:dyDescent="0.25">
      <c r="A275" s="4">
        <f>DATEVALUE(DataIn!A295)</f>
        <v>42940</v>
      </c>
      <c r="B275" s="5" t="str">
        <f>DataIn!B295</f>
        <v>NWD-512967XXXXXX4422-VD103802-BANGALORE</v>
      </c>
      <c r="C275" s="5" t="str">
        <f>DataIn!C295</f>
        <v>0000720521165500</v>
      </c>
      <c r="D275" s="5" t="str">
        <f>DataIn!D295</f>
        <v>24/07/17</v>
      </c>
      <c r="E275" s="5">
        <f>DataIn!E295</f>
        <v>1000</v>
      </c>
      <c r="F275" s="5">
        <f>DataIn!F295</f>
        <v>0</v>
      </c>
      <c r="G275" s="5">
        <f>DataIn!G295</f>
        <v>147952.5</v>
      </c>
      <c r="H275" s="6" t="b">
        <f>SUMPRODUCT(--ISNUMBER(SEARCH(CategoriesConfig!B$3:B$12,$B275)))&gt;0</f>
        <v>0</v>
      </c>
      <c r="I275" s="6" t="b">
        <f>SUMPRODUCT(--ISNUMBER(SEARCH(CategoriesConfig!C$3:C$12,$B275)))&gt;0</f>
        <v>0</v>
      </c>
      <c r="J275" s="6" t="b">
        <f>SUMPRODUCT(--ISNUMBER(SEARCH(CategoriesConfig!D$3:D$12,$B275)))&gt;0</f>
        <v>0</v>
      </c>
      <c r="K275" s="6" t="b">
        <f>SUMPRODUCT(--ISNUMBER(SEARCH(CategoriesConfig!E$3:E$12,$B275)))&gt;0</f>
        <v>0</v>
      </c>
      <c r="L275" s="6" t="b">
        <f>SUMPRODUCT(--ISNUMBER(SEARCH(CategoriesConfig!F$3:F$12,$B275)))&gt;0</f>
        <v>0</v>
      </c>
      <c r="M275" s="6" t="b">
        <f>SUMPRODUCT(--ISNUMBER(SEARCH(CategoriesConfig!G$3:G$12,$B275)))&gt;0</f>
        <v>0</v>
      </c>
      <c r="N275" s="6" t="b">
        <f>SUMPRODUCT(--ISNUMBER(SEARCH(CategoriesConfig!H$3:H$12,$B275)))&gt;0</f>
        <v>1</v>
      </c>
      <c r="O275" s="6" t="b">
        <f>SUMPRODUCT(--ISNUMBER(SEARCH(CategoriesConfig!I$3:I$12,$B275)))&gt;0</f>
        <v>0</v>
      </c>
      <c r="P275" s="22" t="b">
        <f t="shared" si="13"/>
        <v>0</v>
      </c>
      <c r="Q275" s="22">
        <f t="shared" si="14"/>
        <v>7</v>
      </c>
      <c r="S275" s="6" t="str">
        <f t="shared" si="15"/>
        <v>C</v>
      </c>
    </row>
    <row r="276" spans="1:19" ht="13.5" thickBot="1" x14ac:dyDescent="0.25">
      <c r="A276" s="4">
        <f>DATEVALUE(DataIn!A296)</f>
        <v>42941</v>
      </c>
      <c r="B276" s="5" t="str">
        <f>DataIn!B296</f>
        <v>POS 512967XXXXXX4422 ZES*UBER INDIA S POS DEBIT</v>
      </c>
      <c r="C276" s="5" t="str">
        <f>DataIn!C296</f>
        <v>0000720640023705</v>
      </c>
      <c r="D276" s="5" t="str">
        <f>DataIn!D296</f>
        <v>25/07/17</v>
      </c>
      <c r="E276" s="5">
        <f>DataIn!E296</f>
        <v>164.39</v>
      </c>
      <c r="F276" s="5">
        <f>DataIn!F296</f>
        <v>0</v>
      </c>
      <c r="G276" s="5">
        <f>DataIn!G296</f>
        <v>147788.10999999999</v>
      </c>
      <c r="H276" s="6" t="b">
        <f>SUMPRODUCT(--ISNUMBER(SEARCH(CategoriesConfig!B$3:B$12,$B276)))&gt;0</f>
        <v>0</v>
      </c>
      <c r="I276" s="6" t="b">
        <f>SUMPRODUCT(--ISNUMBER(SEARCH(CategoriesConfig!C$3:C$12,$B276)))&gt;0</f>
        <v>1</v>
      </c>
      <c r="J276" s="6" t="b">
        <f>SUMPRODUCT(--ISNUMBER(SEARCH(CategoriesConfig!D$3:D$12,$B276)))&gt;0</f>
        <v>0</v>
      </c>
      <c r="K276" s="6" t="b">
        <f>SUMPRODUCT(--ISNUMBER(SEARCH(CategoriesConfig!E$3:E$12,$B276)))&gt;0</f>
        <v>0</v>
      </c>
      <c r="L276" s="6" t="b">
        <f>SUMPRODUCT(--ISNUMBER(SEARCH(CategoriesConfig!F$3:F$12,$B276)))&gt;0</f>
        <v>0</v>
      </c>
      <c r="M276" s="6" t="b">
        <f>SUMPRODUCT(--ISNUMBER(SEARCH(CategoriesConfig!G$3:G$12,$B276)))&gt;0</f>
        <v>0</v>
      </c>
      <c r="N276" s="6" t="b">
        <f>SUMPRODUCT(--ISNUMBER(SEARCH(CategoriesConfig!H$3:H$12,$B276)))&gt;0</f>
        <v>0</v>
      </c>
      <c r="O276" s="6" t="b">
        <f>SUMPRODUCT(--ISNUMBER(SEARCH(CategoriesConfig!I$3:I$12,$B276)))&gt;0</f>
        <v>0</v>
      </c>
      <c r="P276" s="22" t="b">
        <f t="shared" si="13"/>
        <v>0</v>
      </c>
      <c r="Q276" s="22">
        <f t="shared" si="14"/>
        <v>7</v>
      </c>
      <c r="S276" s="6" t="str">
        <f t="shared" si="15"/>
        <v>U</v>
      </c>
    </row>
    <row r="277" spans="1:19" ht="13.5" thickBot="1" x14ac:dyDescent="0.25">
      <c r="A277" s="4">
        <f>DATEVALUE(DataIn!A297)</f>
        <v>42941</v>
      </c>
      <c r="B277" s="5" t="str">
        <f>DataIn!B297</f>
        <v>POS 512967XXXXXX4422 PTM*PAYTM POS DEBIT</v>
      </c>
      <c r="C277" s="5" t="str">
        <f>DataIn!C297</f>
        <v>0000720600045610</v>
      </c>
      <c r="D277" s="5" t="str">
        <f>DataIn!D297</f>
        <v>25/07/17</v>
      </c>
      <c r="E277" s="5">
        <f>DataIn!E297</f>
        <v>110</v>
      </c>
      <c r="F277" s="5">
        <f>DataIn!F297</f>
        <v>0</v>
      </c>
      <c r="G277" s="5">
        <f>DataIn!G297</f>
        <v>147678.10999999999</v>
      </c>
      <c r="H277" s="6" t="b">
        <f>SUMPRODUCT(--ISNUMBER(SEARCH(CategoriesConfig!B$3:B$12,$B277)))&gt;0</f>
        <v>0</v>
      </c>
      <c r="I277" s="6" t="b">
        <f>SUMPRODUCT(--ISNUMBER(SEARCH(CategoriesConfig!C$3:C$12,$B277)))&gt;0</f>
        <v>0</v>
      </c>
      <c r="J277" s="6" t="b">
        <f>SUMPRODUCT(--ISNUMBER(SEARCH(CategoriesConfig!D$3:D$12,$B277)))&gt;0</f>
        <v>0</v>
      </c>
      <c r="K277" s="6" t="b">
        <f>SUMPRODUCT(--ISNUMBER(SEARCH(CategoriesConfig!E$3:E$12,$B277)))&gt;0</f>
        <v>0</v>
      </c>
      <c r="L277" s="6" t="b">
        <f>SUMPRODUCT(--ISNUMBER(SEARCH(CategoriesConfig!F$3:F$12,$B277)))&gt;0</f>
        <v>0</v>
      </c>
      <c r="M277" s="6" t="b">
        <f>SUMPRODUCT(--ISNUMBER(SEARCH(CategoriesConfig!G$3:G$12,$B277)))&gt;0</f>
        <v>0</v>
      </c>
      <c r="N277" s="6" t="b">
        <f>SUMPRODUCT(--ISNUMBER(SEARCH(CategoriesConfig!H$3:H$12,$B277)))&gt;0</f>
        <v>0</v>
      </c>
      <c r="O277" s="6" t="b">
        <f>SUMPRODUCT(--ISNUMBER(SEARCH(CategoriesConfig!I$3:I$12,$B277)))&gt;0</f>
        <v>0</v>
      </c>
      <c r="P277" s="22" t="b">
        <f t="shared" si="13"/>
        <v>1</v>
      </c>
      <c r="Q277" s="22">
        <f t="shared" si="14"/>
        <v>7</v>
      </c>
      <c r="R277" t="s">
        <v>223</v>
      </c>
      <c r="S277" s="6" t="str">
        <f t="shared" si="15"/>
        <v>M</v>
      </c>
    </row>
    <row r="278" spans="1:19" ht="13.5" thickBot="1" x14ac:dyDescent="0.25">
      <c r="A278" s="4">
        <f>DATEVALUE(DataIn!A298)</f>
        <v>42941</v>
      </c>
      <c r="B278" s="5" t="str">
        <f>DataIn!B298</f>
        <v>POS 512967XXXXXX4422 CELEBRATIONS, POS DEBIT</v>
      </c>
      <c r="C278" s="5" t="str">
        <f>DataIn!C298</f>
        <v>0000000000022047</v>
      </c>
      <c r="D278" s="5" t="str">
        <f>DataIn!D298</f>
        <v>25/07/17</v>
      </c>
      <c r="E278" s="5">
        <f>DataIn!E298</f>
        <v>94</v>
      </c>
      <c r="F278" s="5">
        <f>DataIn!F298</f>
        <v>0</v>
      </c>
      <c r="G278" s="5">
        <f>DataIn!G298</f>
        <v>147584.10999999999</v>
      </c>
      <c r="H278" s="6" t="b">
        <f>SUMPRODUCT(--ISNUMBER(SEARCH(CategoriesConfig!B$3:B$12,$B278)))&gt;0</f>
        <v>0</v>
      </c>
      <c r="I278" s="6" t="b">
        <f>SUMPRODUCT(--ISNUMBER(SEARCH(CategoriesConfig!C$3:C$12,$B278)))&gt;0</f>
        <v>0</v>
      </c>
      <c r="J278" s="6" t="b">
        <f>SUMPRODUCT(--ISNUMBER(SEARCH(CategoriesConfig!D$3:D$12,$B278)))&gt;0</f>
        <v>1</v>
      </c>
      <c r="K278" s="6" t="b">
        <f>SUMPRODUCT(--ISNUMBER(SEARCH(CategoriesConfig!E$3:E$12,$B278)))&gt;0</f>
        <v>0</v>
      </c>
      <c r="L278" s="6" t="b">
        <f>SUMPRODUCT(--ISNUMBER(SEARCH(CategoriesConfig!F$3:F$12,$B278)))&gt;0</f>
        <v>0</v>
      </c>
      <c r="M278" s="6" t="b">
        <f>SUMPRODUCT(--ISNUMBER(SEARCH(CategoriesConfig!G$3:G$12,$B278)))&gt;0</f>
        <v>0</v>
      </c>
      <c r="N278" s="6" t="b">
        <f>SUMPRODUCT(--ISNUMBER(SEARCH(CategoriesConfig!H$3:H$12,$B278)))&gt;0</f>
        <v>0</v>
      </c>
      <c r="O278" s="6" t="b">
        <f>SUMPRODUCT(--ISNUMBER(SEARCH(CategoriesConfig!I$3:I$12,$B278)))&gt;0</f>
        <v>0</v>
      </c>
      <c r="P278" s="22" t="b">
        <f t="shared" si="13"/>
        <v>0</v>
      </c>
      <c r="Q278" s="22">
        <f t="shared" si="14"/>
        <v>7</v>
      </c>
      <c r="S278" s="6" t="str">
        <f t="shared" si="15"/>
        <v>L</v>
      </c>
    </row>
    <row r="279" spans="1:19" ht="13.5" thickBot="1" x14ac:dyDescent="0.25">
      <c r="A279" s="4">
        <f>DATEVALUE(DataIn!A299)</f>
        <v>42941</v>
      </c>
      <c r="B279" s="5" t="str">
        <f>DataIn!B299</f>
        <v>POS 512967XXXXXX4422 ZES*UBER INDIA S POS DEBIT</v>
      </c>
      <c r="C279" s="5" t="str">
        <f>DataIn!C299</f>
        <v>0000720640152888</v>
      </c>
      <c r="D279" s="5" t="str">
        <f>DataIn!D299</f>
        <v>25/07/17</v>
      </c>
      <c r="E279" s="5">
        <f>DataIn!E299</f>
        <v>171.01</v>
      </c>
      <c r="F279" s="5">
        <f>DataIn!F299</f>
        <v>0</v>
      </c>
      <c r="G279" s="5">
        <f>DataIn!G299</f>
        <v>147413.1</v>
      </c>
      <c r="H279" s="6" t="b">
        <f>SUMPRODUCT(--ISNUMBER(SEARCH(CategoriesConfig!B$3:B$12,$B279)))&gt;0</f>
        <v>0</v>
      </c>
      <c r="I279" s="6" t="b">
        <f>SUMPRODUCT(--ISNUMBER(SEARCH(CategoriesConfig!C$3:C$12,$B279)))&gt;0</f>
        <v>1</v>
      </c>
      <c r="J279" s="6" t="b">
        <f>SUMPRODUCT(--ISNUMBER(SEARCH(CategoriesConfig!D$3:D$12,$B279)))&gt;0</f>
        <v>0</v>
      </c>
      <c r="K279" s="6" t="b">
        <f>SUMPRODUCT(--ISNUMBER(SEARCH(CategoriesConfig!E$3:E$12,$B279)))&gt;0</f>
        <v>0</v>
      </c>
      <c r="L279" s="6" t="b">
        <f>SUMPRODUCT(--ISNUMBER(SEARCH(CategoriesConfig!F$3:F$12,$B279)))&gt;0</f>
        <v>0</v>
      </c>
      <c r="M279" s="6" t="b">
        <f>SUMPRODUCT(--ISNUMBER(SEARCH(CategoriesConfig!G$3:G$12,$B279)))&gt;0</f>
        <v>0</v>
      </c>
      <c r="N279" s="6" t="b">
        <f>SUMPRODUCT(--ISNUMBER(SEARCH(CategoriesConfig!H$3:H$12,$B279)))&gt;0</f>
        <v>0</v>
      </c>
      <c r="O279" s="6" t="b">
        <f>SUMPRODUCT(--ISNUMBER(SEARCH(CategoriesConfig!I$3:I$12,$B279)))&gt;0</f>
        <v>0</v>
      </c>
      <c r="P279" s="22" t="b">
        <f t="shared" si="13"/>
        <v>0</v>
      </c>
      <c r="Q279" s="22">
        <f t="shared" si="14"/>
        <v>7</v>
      </c>
      <c r="S279" s="6" t="str">
        <f t="shared" si="15"/>
        <v>U</v>
      </c>
    </row>
    <row r="280" spans="1:19" ht="13.5" thickBot="1" x14ac:dyDescent="0.25">
      <c r="A280" s="4">
        <f>DATEVALUE(DataIn!A300)</f>
        <v>42942</v>
      </c>
      <c r="B280" s="5" t="str">
        <f>DataIn!B300</f>
        <v>POS 512967XXXXXX4422 ZES*UBER INDIA S POS DEBIT</v>
      </c>
      <c r="C280" s="5" t="str">
        <f>DataIn!C300</f>
        <v>0000720740053304</v>
      </c>
      <c r="D280" s="5" t="str">
        <f>DataIn!D300</f>
        <v>26/07/17</v>
      </c>
      <c r="E280" s="5">
        <f>DataIn!E300</f>
        <v>92.08</v>
      </c>
      <c r="F280" s="5">
        <f>DataIn!F300</f>
        <v>0</v>
      </c>
      <c r="G280" s="5">
        <f>DataIn!G300</f>
        <v>147321.01999999999</v>
      </c>
      <c r="H280" s="6" t="b">
        <f>SUMPRODUCT(--ISNUMBER(SEARCH(CategoriesConfig!B$3:B$12,$B280)))&gt;0</f>
        <v>0</v>
      </c>
      <c r="I280" s="6" t="b">
        <f>SUMPRODUCT(--ISNUMBER(SEARCH(CategoriesConfig!C$3:C$12,$B280)))&gt;0</f>
        <v>1</v>
      </c>
      <c r="J280" s="6" t="b">
        <f>SUMPRODUCT(--ISNUMBER(SEARCH(CategoriesConfig!D$3:D$12,$B280)))&gt;0</f>
        <v>0</v>
      </c>
      <c r="K280" s="6" t="b">
        <f>SUMPRODUCT(--ISNUMBER(SEARCH(CategoriesConfig!E$3:E$12,$B280)))&gt;0</f>
        <v>0</v>
      </c>
      <c r="L280" s="6" t="b">
        <f>SUMPRODUCT(--ISNUMBER(SEARCH(CategoriesConfig!F$3:F$12,$B280)))&gt;0</f>
        <v>0</v>
      </c>
      <c r="M280" s="6" t="b">
        <f>SUMPRODUCT(--ISNUMBER(SEARCH(CategoriesConfig!G$3:G$12,$B280)))&gt;0</f>
        <v>0</v>
      </c>
      <c r="N280" s="6" t="b">
        <f>SUMPRODUCT(--ISNUMBER(SEARCH(CategoriesConfig!H$3:H$12,$B280)))&gt;0</f>
        <v>0</v>
      </c>
      <c r="O280" s="6" t="b">
        <f>SUMPRODUCT(--ISNUMBER(SEARCH(CategoriesConfig!I$3:I$12,$B280)))&gt;0</f>
        <v>0</v>
      </c>
      <c r="P280" s="22" t="b">
        <f t="shared" si="13"/>
        <v>0</v>
      </c>
      <c r="Q280" s="22">
        <f t="shared" si="14"/>
        <v>7</v>
      </c>
      <c r="S280" s="6" t="str">
        <f t="shared" si="15"/>
        <v>U</v>
      </c>
    </row>
    <row r="281" spans="1:19" ht="13.5" thickBot="1" x14ac:dyDescent="0.25">
      <c r="A281" s="4">
        <f>DATEVALUE(DataIn!A301)</f>
        <v>42942</v>
      </c>
      <c r="B281" s="5" t="str">
        <f>DataIn!B301</f>
        <v>POS 512967XXXXXX4422 CELEBRATIONS, POS DEBIT</v>
      </c>
      <c r="C281" s="5" t="str">
        <f>DataIn!C301</f>
        <v>0000000000022282</v>
      </c>
      <c r="D281" s="5" t="str">
        <f>DataIn!D301</f>
        <v>26/07/17</v>
      </c>
      <c r="E281" s="5">
        <f>DataIn!E301</f>
        <v>94</v>
      </c>
      <c r="F281" s="5">
        <f>DataIn!F301</f>
        <v>0</v>
      </c>
      <c r="G281" s="5">
        <f>DataIn!G301</f>
        <v>147227.01999999999</v>
      </c>
      <c r="H281" s="6" t="b">
        <f>SUMPRODUCT(--ISNUMBER(SEARCH(CategoriesConfig!B$3:B$12,$B281)))&gt;0</f>
        <v>0</v>
      </c>
      <c r="I281" s="6" t="b">
        <f>SUMPRODUCT(--ISNUMBER(SEARCH(CategoriesConfig!C$3:C$12,$B281)))&gt;0</f>
        <v>0</v>
      </c>
      <c r="J281" s="6" t="b">
        <f>SUMPRODUCT(--ISNUMBER(SEARCH(CategoriesConfig!D$3:D$12,$B281)))&gt;0</f>
        <v>1</v>
      </c>
      <c r="K281" s="6" t="b">
        <f>SUMPRODUCT(--ISNUMBER(SEARCH(CategoriesConfig!E$3:E$12,$B281)))&gt;0</f>
        <v>0</v>
      </c>
      <c r="L281" s="6" t="b">
        <f>SUMPRODUCT(--ISNUMBER(SEARCH(CategoriesConfig!F$3:F$12,$B281)))&gt;0</f>
        <v>0</v>
      </c>
      <c r="M281" s="6" t="b">
        <f>SUMPRODUCT(--ISNUMBER(SEARCH(CategoriesConfig!G$3:G$12,$B281)))&gt;0</f>
        <v>0</v>
      </c>
      <c r="N281" s="6" t="b">
        <f>SUMPRODUCT(--ISNUMBER(SEARCH(CategoriesConfig!H$3:H$12,$B281)))&gt;0</f>
        <v>0</v>
      </c>
      <c r="O281" s="6" t="b">
        <f>SUMPRODUCT(--ISNUMBER(SEARCH(CategoriesConfig!I$3:I$12,$B281)))&gt;0</f>
        <v>0</v>
      </c>
      <c r="P281" s="22" t="b">
        <f t="shared" si="13"/>
        <v>0</v>
      </c>
      <c r="Q281" s="22">
        <f t="shared" si="14"/>
        <v>7</v>
      </c>
      <c r="S281" s="6" t="str">
        <f t="shared" si="15"/>
        <v>L</v>
      </c>
    </row>
    <row r="282" spans="1:19" ht="13.5" thickBot="1" x14ac:dyDescent="0.25">
      <c r="A282" s="4">
        <f>DATEVALUE(DataIn!A302)</f>
        <v>42942</v>
      </c>
      <c r="B282" s="5" t="str">
        <f>DataIn!B302</f>
        <v>POS 512967XXXXXX4422 NSDLPAN POS DEBIT</v>
      </c>
      <c r="C282" s="5" t="str">
        <f>DataIn!C302</f>
        <v>0000JF5529107368</v>
      </c>
      <c r="D282" s="5" t="str">
        <f>DataIn!D302</f>
        <v>26/07/17</v>
      </c>
      <c r="E282" s="5">
        <f>DataIn!E302</f>
        <v>113</v>
      </c>
      <c r="F282" s="5">
        <f>DataIn!F302</f>
        <v>0</v>
      </c>
      <c r="G282" s="5">
        <f>DataIn!G302</f>
        <v>147114.01999999999</v>
      </c>
      <c r="H282" s="6" t="b">
        <f>SUMPRODUCT(--ISNUMBER(SEARCH(CategoriesConfig!B$3:B$12,$B282)))&gt;0</f>
        <v>0</v>
      </c>
      <c r="I282" s="6" t="b">
        <f>SUMPRODUCT(--ISNUMBER(SEARCH(CategoriesConfig!C$3:C$12,$B282)))&gt;0</f>
        <v>0</v>
      </c>
      <c r="J282" s="6" t="b">
        <f>SUMPRODUCT(--ISNUMBER(SEARCH(CategoriesConfig!D$3:D$12,$B282)))&gt;0</f>
        <v>0</v>
      </c>
      <c r="K282" s="6" t="b">
        <f>SUMPRODUCT(--ISNUMBER(SEARCH(CategoriesConfig!E$3:E$12,$B282)))&gt;0</f>
        <v>0</v>
      </c>
      <c r="L282" s="6" t="b">
        <f>SUMPRODUCT(--ISNUMBER(SEARCH(CategoriesConfig!F$3:F$12,$B282)))&gt;0</f>
        <v>0</v>
      </c>
      <c r="M282" s="6" t="b">
        <f>SUMPRODUCT(--ISNUMBER(SEARCH(CategoriesConfig!G$3:G$12,$B282)))&gt;0</f>
        <v>0</v>
      </c>
      <c r="N282" s="6" t="b">
        <f>SUMPRODUCT(--ISNUMBER(SEARCH(CategoriesConfig!H$3:H$12,$B282)))&gt;0</f>
        <v>0</v>
      </c>
      <c r="O282" s="6" t="b">
        <f>SUMPRODUCT(--ISNUMBER(SEARCH(CategoriesConfig!I$3:I$12,$B282)))&gt;0</f>
        <v>0</v>
      </c>
      <c r="P282" s="22" t="b">
        <f t="shared" si="13"/>
        <v>1</v>
      </c>
      <c r="Q282" s="22">
        <f t="shared" si="14"/>
        <v>7</v>
      </c>
      <c r="R282" t="s">
        <v>223</v>
      </c>
      <c r="S282" s="6" t="str">
        <f t="shared" si="15"/>
        <v>M</v>
      </c>
    </row>
    <row r="283" spans="1:19" ht="13.5" thickBot="1" x14ac:dyDescent="0.25">
      <c r="A283" s="4">
        <f>DATEVALUE(DataIn!A303)</f>
        <v>42942</v>
      </c>
      <c r="B283" s="5" t="str">
        <f>DataIn!B303</f>
        <v>POS 512967XXXXXX4422 ZES*UBER INDIA S POS DEBIT</v>
      </c>
      <c r="C283" s="5" t="str">
        <f>DataIn!C303</f>
        <v>0000720760280640</v>
      </c>
      <c r="D283" s="5" t="str">
        <f>DataIn!D303</f>
        <v>26/07/17</v>
      </c>
      <c r="E283" s="5">
        <f>DataIn!E303</f>
        <v>170.97</v>
      </c>
      <c r="F283" s="5">
        <f>DataIn!F303</f>
        <v>0</v>
      </c>
      <c r="G283" s="5">
        <f>DataIn!G303</f>
        <v>146943.04999999999</v>
      </c>
      <c r="H283" s="6" t="b">
        <f>SUMPRODUCT(--ISNUMBER(SEARCH(CategoriesConfig!B$3:B$12,$B283)))&gt;0</f>
        <v>0</v>
      </c>
      <c r="I283" s="6" t="b">
        <f>SUMPRODUCT(--ISNUMBER(SEARCH(CategoriesConfig!C$3:C$12,$B283)))&gt;0</f>
        <v>1</v>
      </c>
      <c r="J283" s="6" t="b">
        <f>SUMPRODUCT(--ISNUMBER(SEARCH(CategoriesConfig!D$3:D$12,$B283)))&gt;0</f>
        <v>0</v>
      </c>
      <c r="K283" s="6" t="b">
        <f>SUMPRODUCT(--ISNUMBER(SEARCH(CategoriesConfig!E$3:E$12,$B283)))&gt;0</f>
        <v>0</v>
      </c>
      <c r="L283" s="6" t="b">
        <f>SUMPRODUCT(--ISNUMBER(SEARCH(CategoriesConfig!F$3:F$12,$B283)))&gt;0</f>
        <v>0</v>
      </c>
      <c r="M283" s="6" t="b">
        <f>SUMPRODUCT(--ISNUMBER(SEARCH(CategoriesConfig!G$3:G$12,$B283)))&gt;0</f>
        <v>0</v>
      </c>
      <c r="N283" s="6" t="b">
        <f>SUMPRODUCT(--ISNUMBER(SEARCH(CategoriesConfig!H$3:H$12,$B283)))&gt;0</f>
        <v>0</v>
      </c>
      <c r="O283" s="6" t="b">
        <f>SUMPRODUCT(--ISNUMBER(SEARCH(CategoriesConfig!I$3:I$12,$B283)))&gt;0</f>
        <v>0</v>
      </c>
      <c r="P283" s="22" t="b">
        <f t="shared" si="13"/>
        <v>0</v>
      </c>
      <c r="Q283" s="22">
        <f t="shared" si="14"/>
        <v>7</v>
      </c>
      <c r="S283" s="6" t="str">
        <f t="shared" si="15"/>
        <v>U</v>
      </c>
    </row>
    <row r="284" spans="1:19" ht="13.5" thickBot="1" x14ac:dyDescent="0.25">
      <c r="A284" s="4">
        <f>DATEVALUE(DataIn!A304)</f>
        <v>42942</v>
      </c>
      <c r="B284" s="5" t="str">
        <f>DataIn!B304</f>
        <v>POS 512967XXXXXX4422 BENJARONG -KA-AS POS DEBIT</v>
      </c>
      <c r="C284" s="5" t="str">
        <f>DataIn!C304</f>
        <v>0000000000210599</v>
      </c>
      <c r="D284" s="5" t="str">
        <f>DataIn!D304</f>
        <v>26/07/17</v>
      </c>
      <c r="E284" s="5">
        <f>DataIn!E304</f>
        <v>1908</v>
      </c>
      <c r="F284" s="5">
        <f>DataIn!F304</f>
        <v>0</v>
      </c>
      <c r="G284" s="5">
        <f>DataIn!G304</f>
        <v>145035.04999999999</v>
      </c>
      <c r="H284" s="6" t="b">
        <f>SUMPRODUCT(--ISNUMBER(SEARCH(CategoriesConfig!B$3:B$12,$B284)))&gt;0</f>
        <v>0</v>
      </c>
      <c r="I284" s="6" t="b">
        <f>SUMPRODUCT(--ISNUMBER(SEARCH(CategoriesConfig!C$3:C$12,$B284)))&gt;0</f>
        <v>0</v>
      </c>
      <c r="J284" s="6" t="b">
        <f>SUMPRODUCT(--ISNUMBER(SEARCH(CategoriesConfig!D$3:D$12,$B284)))&gt;0</f>
        <v>0</v>
      </c>
      <c r="K284" s="6" t="b">
        <f>SUMPRODUCT(--ISNUMBER(SEARCH(CategoriesConfig!E$3:E$12,$B284)))&gt;0</f>
        <v>0</v>
      </c>
      <c r="L284" s="6" t="b">
        <f>SUMPRODUCT(--ISNUMBER(SEARCH(CategoriesConfig!F$3:F$12,$B284)))&gt;0</f>
        <v>0</v>
      </c>
      <c r="M284" s="6" t="b">
        <f>SUMPRODUCT(--ISNUMBER(SEARCH(CategoriesConfig!G$3:G$12,$B284)))&gt;0</f>
        <v>0</v>
      </c>
      <c r="N284" s="6" t="b">
        <f>SUMPRODUCT(--ISNUMBER(SEARCH(CategoriesConfig!H$3:H$12,$B284)))&gt;0</f>
        <v>0</v>
      </c>
      <c r="O284" s="6" t="b">
        <f>SUMPRODUCT(--ISNUMBER(SEARCH(CategoriesConfig!I$3:I$12,$B284)))&gt;0</f>
        <v>0</v>
      </c>
      <c r="P284" s="22" t="b">
        <f t="shared" si="13"/>
        <v>1</v>
      </c>
      <c r="Q284" s="22">
        <f t="shared" si="14"/>
        <v>7</v>
      </c>
      <c r="R284" t="s">
        <v>221</v>
      </c>
      <c r="S284" s="6" t="str">
        <f t="shared" si="15"/>
        <v>F</v>
      </c>
    </row>
    <row r="285" spans="1:19" ht="13.5" thickBot="1" x14ac:dyDescent="0.25">
      <c r="A285" s="4">
        <f>DATEVALUE(DataIn!A305)</f>
        <v>42943</v>
      </c>
      <c r="B285" s="5" t="str">
        <f>DataIn!B305</f>
        <v>POS 512967XXXXXX4422 CELEBRATIONS, POS DEBIT</v>
      </c>
      <c r="C285" s="5" t="str">
        <f>DataIn!C305</f>
        <v>0000000000022579</v>
      </c>
      <c r="D285" s="5" t="str">
        <f>DataIn!D305</f>
        <v>27/07/17</v>
      </c>
      <c r="E285" s="5">
        <f>DataIn!E305</f>
        <v>94</v>
      </c>
      <c r="F285" s="5">
        <f>DataIn!F305</f>
        <v>0</v>
      </c>
      <c r="G285" s="5">
        <f>DataIn!G305</f>
        <v>144941.04999999999</v>
      </c>
      <c r="H285" s="6" t="b">
        <f>SUMPRODUCT(--ISNUMBER(SEARCH(CategoriesConfig!B$3:B$12,$B285)))&gt;0</f>
        <v>0</v>
      </c>
      <c r="I285" s="6" t="b">
        <f>SUMPRODUCT(--ISNUMBER(SEARCH(CategoriesConfig!C$3:C$12,$B285)))&gt;0</f>
        <v>0</v>
      </c>
      <c r="J285" s="6" t="b">
        <f>SUMPRODUCT(--ISNUMBER(SEARCH(CategoriesConfig!D$3:D$12,$B285)))&gt;0</f>
        <v>1</v>
      </c>
      <c r="K285" s="6" t="b">
        <f>SUMPRODUCT(--ISNUMBER(SEARCH(CategoriesConfig!E$3:E$12,$B285)))&gt;0</f>
        <v>0</v>
      </c>
      <c r="L285" s="6" t="b">
        <f>SUMPRODUCT(--ISNUMBER(SEARCH(CategoriesConfig!F$3:F$12,$B285)))&gt;0</f>
        <v>0</v>
      </c>
      <c r="M285" s="6" t="b">
        <f>SUMPRODUCT(--ISNUMBER(SEARCH(CategoriesConfig!G$3:G$12,$B285)))&gt;0</f>
        <v>0</v>
      </c>
      <c r="N285" s="6" t="b">
        <f>SUMPRODUCT(--ISNUMBER(SEARCH(CategoriesConfig!H$3:H$12,$B285)))&gt;0</f>
        <v>0</v>
      </c>
      <c r="O285" s="6" t="b">
        <f>SUMPRODUCT(--ISNUMBER(SEARCH(CategoriesConfig!I$3:I$12,$B285)))&gt;0</f>
        <v>0</v>
      </c>
      <c r="P285" s="22" t="b">
        <f t="shared" si="13"/>
        <v>0</v>
      </c>
      <c r="Q285" s="22">
        <f t="shared" si="14"/>
        <v>7</v>
      </c>
      <c r="S285" s="6" t="str">
        <f t="shared" si="15"/>
        <v>L</v>
      </c>
    </row>
    <row r="286" spans="1:19" ht="13.5" thickBot="1" x14ac:dyDescent="0.25">
      <c r="A286" s="4">
        <f>DATEVALUE(DataIn!A306)</f>
        <v>42943</v>
      </c>
      <c r="B286" s="5" t="str">
        <f>DataIn!B306</f>
        <v>POS 512967XXXXXX4422 ZES*UBER INDIA S POS DEBIT</v>
      </c>
      <c r="C286" s="5" t="str">
        <f>DataIn!C306</f>
        <v>0000720800184849</v>
      </c>
      <c r="D286" s="5" t="str">
        <f>DataIn!D306</f>
        <v>27/07/17</v>
      </c>
      <c r="E286" s="5">
        <f>DataIn!E306</f>
        <v>75.72</v>
      </c>
      <c r="F286" s="5">
        <f>DataIn!F306</f>
        <v>0</v>
      </c>
      <c r="G286" s="5">
        <f>DataIn!G306</f>
        <v>144865.32999999999</v>
      </c>
      <c r="H286" s="6" t="b">
        <f>SUMPRODUCT(--ISNUMBER(SEARCH(CategoriesConfig!B$3:B$12,$B286)))&gt;0</f>
        <v>0</v>
      </c>
      <c r="I286" s="6" t="b">
        <f>SUMPRODUCT(--ISNUMBER(SEARCH(CategoriesConfig!C$3:C$12,$B286)))&gt;0</f>
        <v>1</v>
      </c>
      <c r="J286" s="6" t="b">
        <f>SUMPRODUCT(--ISNUMBER(SEARCH(CategoriesConfig!D$3:D$12,$B286)))&gt;0</f>
        <v>0</v>
      </c>
      <c r="K286" s="6" t="b">
        <f>SUMPRODUCT(--ISNUMBER(SEARCH(CategoriesConfig!E$3:E$12,$B286)))&gt;0</f>
        <v>0</v>
      </c>
      <c r="L286" s="6" t="b">
        <f>SUMPRODUCT(--ISNUMBER(SEARCH(CategoriesConfig!F$3:F$12,$B286)))&gt;0</f>
        <v>0</v>
      </c>
      <c r="M286" s="6" t="b">
        <f>SUMPRODUCT(--ISNUMBER(SEARCH(CategoriesConfig!G$3:G$12,$B286)))&gt;0</f>
        <v>0</v>
      </c>
      <c r="N286" s="6" t="b">
        <f>SUMPRODUCT(--ISNUMBER(SEARCH(CategoriesConfig!H$3:H$12,$B286)))&gt;0</f>
        <v>0</v>
      </c>
      <c r="O286" s="6" t="b">
        <f>SUMPRODUCT(--ISNUMBER(SEARCH(CategoriesConfig!I$3:I$12,$B286)))&gt;0</f>
        <v>0</v>
      </c>
      <c r="P286" s="22" t="b">
        <f t="shared" si="13"/>
        <v>0</v>
      </c>
      <c r="Q286" s="22">
        <f t="shared" si="14"/>
        <v>7</v>
      </c>
      <c r="S286" s="6" t="str">
        <f t="shared" si="15"/>
        <v>U</v>
      </c>
    </row>
    <row r="287" spans="1:19" ht="13.5" thickBot="1" x14ac:dyDescent="0.25">
      <c r="A287" s="4">
        <f>DATEVALUE(DataIn!A307)</f>
        <v>42944</v>
      </c>
      <c r="B287" s="5" t="str">
        <f>DataIn!B307</f>
        <v>POS 512967XXXXXX4422 ZES*UBER INDIA S POS DEBIT</v>
      </c>
      <c r="C287" s="5" t="str">
        <f>DataIn!C307</f>
        <v>0000720940043752</v>
      </c>
      <c r="D287" s="5" t="str">
        <f>DataIn!D307</f>
        <v>28/07/17</v>
      </c>
      <c r="E287" s="5">
        <f>DataIn!E307</f>
        <v>198.53</v>
      </c>
      <c r="F287" s="5">
        <f>DataIn!F307</f>
        <v>0</v>
      </c>
      <c r="G287" s="5">
        <f>DataIn!G307</f>
        <v>144666.79999999999</v>
      </c>
      <c r="H287" s="6" t="b">
        <f>SUMPRODUCT(--ISNUMBER(SEARCH(CategoriesConfig!B$3:B$12,$B287)))&gt;0</f>
        <v>0</v>
      </c>
      <c r="I287" s="6" t="b">
        <f>SUMPRODUCT(--ISNUMBER(SEARCH(CategoriesConfig!C$3:C$12,$B287)))&gt;0</f>
        <v>1</v>
      </c>
      <c r="J287" s="6" t="b">
        <f>SUMPRODUCT(--ISNUMBER(SEARCH(CategoriesConfig!D$3:D$12,$B287)))&gt;0</f>
        <v>0</v>
      </c>
      <c r="K287" s="6" t="b">
        <f>SUMPRODUCT(--ISNUMBER(SEARCH(CategoriesConfig!E$3:E$12,$B287)))&gt;0</f>
        <v>0</v>
      </c>
      <c r="L287" s="6" t="b">
        <f>SUMPRODUCT(--ISNUMBER(SEARCH(CategoriesConfig!F$3:F$12,$B287)))&gt;0</f>
        <v>0</v>
      </c>
      <c r="M287" s="6" t="b">
        <f>SUMPRODUCT(--ISNUMBER(SEARCH(CategoriesConfig!G$3:G$12,$B287)))&gt;0</f>
        <v>0</v>
      </c>
      <c r="N287" s="6" t="b">
        <f>SUMPRODUCT(--ISNUMBER(SEARCH(CategoriesConfig!H$3:H$12,$B287)))&gt;0</f>
        <v>0</v>
      </c>
      <c r="O287" s="6" t="b">
        <f>SUMPRODUCT(--ISNUMBER(SEARCH(CategoriesConfig!I$3:I$12,$B287)))&gt;0</f>
        <v>0</v>
      </c>
      <c r="P287" s="22" t="b">
        <f t="shared" si="13"/>
        <v>0</v>
      </c>
      <c r="Q287" s="22">
        <f t="shared" si="14"/>
        <v>7</v>
      </c>
      <c r="S287" s="6" t="str">
        <f t="shared" si="15"/>
        <v>U</v>
      </c>
    </row>
    <row r="288" spans="1:19" ht="13.5" thickBot="1" x14ac:dyDescent="0.25">
      <c r="A288" s="4">
        <f>DATEVALUE(DataIn!A308)</f>
        <v>42944</v>
      </c>
      <c r="B288" s="5" t="str">
        <f>DataIn!B308</f>
        <v>POS 512967XXXXXX4422 MC DONALDS. POS DEBIT</v>
      </c>
      <c r="C288" s="5" t="str">
        <f>DataIn!C308</f>
        <v>0000000000066556</v>
      </c>
      <c r="D288" s="5" t="str">
        <f>DataIn!D308</f>
        <v>28/07/17</v>
      </c>
      <c r="E288" s="5">
        <f>DataIn!E308</f>
        <v>379</v>
      </c>
      <c r="F288" s="5">
        <f>DataIn!F308</f>
        <v>0</v>
      </c>
      <c r="G288" s="5">
        <f>DataIn!G308</f>
        <v>144287.79999999999</v>
      </c>
      <c r="H288" s="6" t="b">
        <f>SUMPRODUCT(--ISNUMBER(SEARCH(CategoriesConfig!B$3:B$12,$B288)))&gt;0</f>
        <v>0</v>
      </c>
      <c r="I288" s="6" t="b">
        <f>SUMPRODUCT(--ISNUMBER(SEARCH(CategoriesConfig!C$3:C$12,$B288)))&gt;0</f>
        <v>0</v>
      </c>
      <c r="J288" s="6" t="b">
        <f>SUMPRODUCT(--ISNUMBER(SEARCH(CategoriesConfig!D$3:D$12,$B288)))&gt;0</f>
        <v>0</v>
      </c>
      <c r="K288" s="6" t="b">
        <f>SUMPRODUCT(--ISNUMBER(SEARCH(CategoriesConfig!E$3:E$12,$B288)))&gt;0</f>
        <v>0</v>
      </c>
      <c r="L288" s="6" t="b">
        <f>SUMPRODUCT(--ISNUMBER(SEARCH(CategoriesConfig!F$3:F$12,$B288)))&gt;0</f>
        <v>1</v>
      </c>
      <c r="M288" s="6" t="b">
        <f>SUMPRODUCT(--ISNUMBER(SEARCH(CategoriesConfig!G$3:G$12,$B288)))&gt;0</f>
        <v>0</v>
      </c>
      <c r="N288" s="6" t="b">
        <f>SUMPRODUCT(--ISNUMBER(SEARCH(CategoriesConfig!H$3:H$12,$B288)))&gt;0</f>
        <v>0</v>
      </c>
      <c r="O288" s="6" t="b">
        <f>SUMPRODUCT(--ISNUMBER(SEARCH(CategoriesConfig!I$3:I$12,$B288)))&gt;0</f>
        <v>0</v>
      </c>
      <c r="P288" s="22" t="b">
        <f t="shared" si="13"/>
        <v>0</v>
      </c>
      <c r="Q288" s="22">
        <f t="shared" si="14"/>
        <v>7</v>
      </c>
      <c r="S288" s="6" t="str">
        <f t="shared" si="15"/>
        <v>F</v>
      </c>
    </row>
    <row r="289" spans="1:19" ht="13.5" thickBot="1" x14ac:dyDescent="0.25">
      <c r="A289" s="4">
        <f>DATEVALUE(DataIn!A309)</f>
        <v>42944</v>
      </c>
      <c r="B289" s="5" t="str">
        <f>DataIn!B309</f>
        <v>POS 512967XXXXXX4422 MC DONALDS. POS DEBIT</v>
      </c>
      <c r="C289" s="5" t="str">
        <f>DataIn!C309</f>
        <v>0000000000046859</v>
      </c>
      <c r="D289" s="5" t="str">
        <f>DataIn!D309</f>
        <v>28/07/17</v>
      </c>
      <c r="E289" s="5">
        <f>DataIn!E309</f>
        <v>60</v>
      </c>
      <c r="F289" s="5">
        <f>DataIn!F309</f>
        <v>0</v>
      </c>
      <c r="G289" s="5">
        <f>DataIn!G309</f>
        <v>144227.79999999999</v>
      </c>
      <c r="H289" s="6" t="b">
        <f>SUMPRODUCT(--ISNUMBER(SEARCH(CategoriesConfig!B$3:B$12,$B289)))&gt;0</f>
        <v>0</v>
      </c>
      <c r="I289" s="6" t="b">
        <f>SUMPRODUCT(--ISNUMBER(SEARCH(CategoriesConfig!C$3:C$12,$B289)))&gt;0</f>
        <v>0</v>
      </c>
      <c r="J289" s="6" t="b">
        <f>SUMPRODUCT(--ISNUMBER(SEARCH(CategoriesConfig!D$3:D$12,$B289)))&gt;0</f>
        <v>0</v>
      </c>
      <c r="K289" s="6" t="b">
        <f>SUMPRODUCT(--ISNUMBER(SEARCH(CategoriesConfig!E$3:E$12,$B289)))&gt;0</f>
        <v>0</v>
      </c>
      <c r="L289" s="6" t="b">
        <f>SUMPRODUCT(--ISNUMBER(SEARCH(CategoriesConfig!F$3:F$12,$B289)))&gt;0</f>
        <v>1</v>
      </c>
      <c r="M289" s="6" t="b">
        <f>SUMPRODUCT(--ISNUMBER(SEARCH(CategoriesConfig!G$3:G$12,$B289)))&gt;0</f>
        <v>0</v>
      </c>
      <c r="N289" s="6" t="b">
        <f>SUMPRODUCT(--ISNUMBER(SEARCH(CategoriesConfig!H$3:H$12,$B289)))&gt;0</f>
        <v>0</v>
      </c>
      <c r="O289" s="6" t="b">
        <f>SUMPRODUCT(--ISNUMBER(SEARCH(CategoriesConfig!I$3:I$12,$B289)))&gt;0</f>
        <v>0</v>
      </c>
      <c r="P289" s="22" t="b">
        <f t="shared" si="13"/>
        <v>0</v>
      </c>
      <c r="Q289" s="22">
        <f t="shared" si="14"/>
        <v>7</v>
      </c>
      <c r="S289" s="6" t="str">
        <f t="shared" si="15"/>
        <v>F</v>
      </c>
    </row>
    <row r="290" spans="1:19" ht="13.5" thickBot="1" x14ac:dyDescent="0.25">
      <c r="A290" s="4">
        <f>DATEVALUE(DataIn!A310)</f>
        <v>42944</v>
      </c>
      <c r="B290" s="5" t="str">
        <f>DataIn!B310</f>
        <v>POS 512967XXXXXX4422 STUDIO BAR POS DEBIT</v>
      </c>
      <c r="C290" s="5" t="str">
        <f>DataIn!C310</f>
        <v>0000000000000719</v>
      </c>
      <c r="D290" s="5" t="str">
        <f>DataIn!D310</f>
        <v>28/07/17</v>
      </c>
      <c r="E290" s="5">
        <f>DataIn!E310</f>
        <v>667</v>
      </c>
      <c r="F290" s="5">
        <f>DataIn!F310</f>
        <v>0</v>
      </c>
      <c r="G290" s="5">
        <f>DataIn!G310</f>
        <v>143560.79999999999</v>
      </c>
      <c r="H290" s="6" t="b">
        <f>SUMPRODUCT(--ISNUMBER(SEARCH(CategoriesConfig!B$3:B$12,$B290)))&gt;0</f>
        <v>0</v>
      </c>
      <c r="I290" s="6" t="b">
        <f>SUMPRODUCT(--ISNUMBER(SEARCH(CategoriesConfig!C$3:C$12,$B290)))&gt;0</f>
        <v>0</v>
      </c>
      <c r="J290" s="6" t="b">
        <f>SUMPRODUCT(--ISNUMBER(SEARCH(CategoriesConfig!D$3:D$12,$B290)))&gt;0</f>
        <v>0</v>
      </c>
      <c r="K290" s="6" t="b">
        <f>SUMPRODUCT(--ISNUMBER(SEARCH(CategoriesConfig!E$3:E$12,$B290)))&gt;0</f>
        <v>0</v>
      </c>
      <c r="L290" s="6" t="b">
        <f>SUMPRODUCT(--ISNUMBER(SEARCH(CategoriesConfig!F$3:F$12,$B290)))&gt;0</f>
        <v>0</v>
      </c>
      <c r="M290" s="6" t="b">
        <f>SUMPRODUCT(--ISNUMBER(SEARCH(CategoriesConfig!G$3:G$12,$B290)))&gt;0</f>
        <v>0</v>
      </c>
      <c r="N290" s="6" t="b">
        <f>SUMPRODUCT(--ISNUMBER(SEARCH(CategoriesConfig!H$3:H$12,$B290)))&gt;0</f>
        <v>0</v>
      </c>
      <c r="O290" s="6" t="b">
        <f>SUMPRODUCT(--ISNUMBER(SEARCH(CategoriesConfig!I$3:I$12,$B290)))&gt;0</f>
        <v>0</v>
      </c>
      <c r="P290" s="22" t="b">
        <f t="shared" si="13"/>
        <v>1</v>
      </c>
      <c r="Q290" s="22">
        <f t="shared" si="14"/>
        <v>7</v>
      </c>
      <c r="R290" t="s">
        <v>221</v>
      </c>
      <c r="S290" s="6" t="str">
        <f t="shared" si="15"/>
        <v>F</v>
      </c>
    </row>
    <row r="291" spans="1:19" ht="13.5" thickBot="1" x14ac:dyDescent="0.25">
      <c r="A291" s="4">
        <f>DATEVALUE(DataIn!A311)</f>
        <v>42944</v>
      </c>
      <c r="B291" s="5" t="str">
        <f>DataIn!B311</f>
        <v>POS 512967XXXXXX4422 ZES*UBER INDIA S POS DEBIT</v>
      </c>
      <c r="C291" s="5" t="str">
        <f>DataIn!C311</f>
        <v>0000720940213099</v>
      </c>
      <c r="D291" s="5" t="str">
        <f>DataIn!D311</f>
        <v>28/07/17</v>
      </c>
      <c r="E291" s="5">
        <f>DataIn!E311</f>
        <v>177.87</v>
      </c>
      <c r="F291" s="5">
        <f>DataIn!F311</f>
        <v>0</v>
      </c>
      <c r="G291" s="5">
        <f>DataIn!G311</f>
        <v>143382.93</v>
      </c>
      <c r="H291" s="6" t="b">
        <f>SUMPRODUCT(--ISNUMBER(SEARCH(CategoriesConfig!B$3:B$12,$B291)))&gt;0</f>
        <v>0</v>
      </c>
      <c r="I291" s="6" t="b">
        <f>SUMPRODUCT(--ISNUMBER(SEARCH(CategoriesConfig!C$3:C$12,$B291)))&gt;0</f>
        <v>1</v>
      </c>
      <c r="J291" s="6" t="b">
        <f>SUMPRODUCT(--ISNUMBER(SEARCH(CategoriesConfig!D$3:D$12,$B291)))&gt;0</f>
        <v>0</v>
      </c>
      <c r="K291" s="6" t="b">
        <f>SUMPRODUCT(--ISNUMBER(SEARCH(CategoriesConfig!E$3:E$12,$B291)))&gt;0</f>
        <v>0</v>
      </c>
      <c r="L291" s="6" t="b">
        <f>SUMPRODUCT(--ISNUMBER(SEARCH(CategoriesConfig!F$3:F$12,$B291)))&gt;0</f>
        <v>0</v>
      </c>
      <c r="M291" s="6" t="b">
        <f>SUMPRODUCT(--ISNUMBER(SEARCH(CategoriesConfig!G$3:G$12,$B291)))&gt;0</f>
        <v>0</v>
      </c>
      <c r="N291" s="6" t="b">
        <f>SUMPRODUCT(--ISNUMBER(SEARCH(CategoriesConfig!H$3:H$12,$B291)))&gt;0</f>
        <v>0</v>
      </c>
      <c r="O291" s="6" t="b">
        <f>SUMPRODUCT(--ISNUMBER(SEARCH(CategoriesConfig!I$3:I$12,$B291)))&gt;0</f>
        <v>0</v>
      </c>
      <c r="P291" s="22" t="b">
        <f t="shared" si="13"/>
        <v>0</v>
      </c>
      <c r="Q291" s="22">
        <f t="shared" si="14"/>
        <v>7</v>
      </c>
      <c r="S291" s="6" t="str">
        <f t="shared" si="15"/>
        <v>U</v>
      </c>
    </row>
    <row r="292" spans="1:19" ht="13.5" thickBot="1" x14ac:dyDescent="0.25">
      <c r="A292" s="4">
        <f>DATEVALUE(DataIn!A312)</f>
        <v>42945</v>
      </c>
      <c r="B292" s="5" t="str">
        <f>DataIn!B312</f>
        <v>POS 512967XXXXXX4422 CITRUS PAY ACTTV POS DEBIT</v>
      </c>
      <c r="C292" s="5" t="str">
        <f>DataIn!C312</f>
        <v>0000721000044166</v>
      </c>
      <c r="D292" s="5" t="str">
        <f>DataIn!D312</f>
        <v>29/07/17</v>
      </c>
      <c r="E292" s="5">
        <f>DataIn!E312</f>
        <v>131</v>
      </c>
      <c r="F292" s="5">
        <f>DataIn!F312</f>
        <v>0</v>
      </c>
      <c r="G292" s="5">
        <f>DataIn!G312</f>
        <v>143251.93</v>
      </c>
      <c r="H292" s="6" t="b">
        <f>SUMPRODUCT(--ISNUMBER(SEARCH(CategoriesConfig!B$3:B$12,$B292)))&gt;0</f>
        <v>0</v>
      </c>
      <c r="I292" s="6" t="b">
        <f>SUMPRODUCT(--ISNUMBER(SEARCH(CategoriesConfig!C$3:C$12,$B292)))&gt;0</f>
        <v>0</v>
      </c>
      <c r="J292" s="6" t="b">
        <f>SUMPRODUCT(--ISNUMBER(SEARCH(CategoriesConfig!D$3:D$12,$B292)))&gt;0</f>
        <v>0</v>
      </c>
      <c r="K292" s="6" t="b">
        <f>SUMPRODUCT(--ISNUMBER(SEARCH(CategoriesConfig!E$3:E$12,$B292)))&gt;0</f>
        <v>0</v>
      </c>
      <c r="L292" s="6" t="b">
        <f>SUMPRODUCT(--ISNUMBER(SEARCH(CategoriesConfig!F$3:F$12,$B292)))&gt;0</f>
        <v>0</v>
      </c>
      <c r="M292" s="6" t="b">
        <f>SUMPRODUCT(--ISNUMBER(SEARCH(CategoriesConfig!G$3:G$12,$B292)))&gt;0</f>
        <v>0</v>
      </c>
      <c r="N292" s="6" t="b">
        <f>SUMPRODUCT(--ISNUMBER(SEARCH(CategoriesConfig!H$3:H$12,$B292)))&gt;0</f>
        <v>0</v>
      </c>
      <c r="O292" s="6" t="b">
        <f>SUMPRODUCT(--ISNUMBER(SEARCH(CategoriesConfig!I$3:I$12,$B292)))&gt;0</f>
        <v>0</v>
      </c>
      <c r="P292" s="22" t="b">
        <f t="shared" si="13"/>
        <v>1</v>
      </c>
      <c r="Q292" s="22">
        <f t="shared" si="14"/>
        <v>7</v>
      </c>
      <c r="R292" t="s">
        <v>223</v>
      </c>
      <c r="S292" s="6" t="str">
        <f t="shared" si="15"/>
        <v>M</v>
      </c>
    </row>
    <row r="293" spans="1:19" ht="13.5" thickBot="1" x14ac:dyDescent="0.25">
      <c r="A293" s="4">
        <f>DATEVALUE(DataIn!A313)</f>
        <v>42945</v>
      </c>
      <c r="B293" s="5" t="str">
        <f>DataIn!B313</f>
        <v>POS 512967XXXXXX4422 CITRUS PAY ACTTV POS DEBIT</v>
      </c>
      <c r="C293" s="5" t="str">
        <f>DataIn!C313</f>
        <v>0000721040151843</v>
      </c>
      <c r="D293" s="5" t="str">
        <f>DataIn!D313</f>
        <v>29/07/17</v>
      </c>
      <c r="E293" s="5">
        <f>DataIn!E313</f>
        <v>131</v>
      </c>
      <c r="F293" s="5">
        <f>DataIn!F313</f>
        <v>0</v>
      </c>
      <c r="G293" s="5">
        <f>DataIn!G313</f>
        <v>143120.93</v>
      </c>
      <c r="H293" s="6" t="b">
        <f>SUMPRODUCT(--ISNUMBER(SEARCH(CategoriesConfig!B$3:B$12,$B293)))&gt;0</f>
        <v>0</v>
      </c>
      <c r="I293" s="6" t="b">
        <f>SUMPRODUCT(--ISNUMBER(SEARCH(CategoriesConfig!C$3:C$12,$B293)))&gt;0</f>
        <v>0</v>
      </c>
      <c r="J293" s="6" t="b">
        <f>SUMPRODUCT(--ISNUMBER(SEARCH(CategoriesConfig!D$3:D$12,$B293)))&gt;0</f>
        <v>0</v>
      </c>
      <c r="K293" s="6" t="b">
        <f>SUMPRODUCT(--ISNUMBER(SEARCH(CategoriesConfig!E$3:E$12,$B293)))&gt;0</f>
        <v>0</v>
      </c>
      <c r="L293" s="6" t="b">
        <f>SUMPRODUCT(--ISNUMBER(SEARCH(CategoriesConfig!F$3:F$12,$B293)))&gt;0</f>
        <v>0</v>
      </c>
      <c r="M293" s="6" t="b">
        <f>SUMPRODUCT(--ISNUMBER(SEARCH(CategoriesConfig!G$3:G$12,$B293)))&gt;0</f>
        <v>0</v>
      </c>
      <c r="N293" s="6" t="b">
        <f>SUMPRODUCT(--ISNUMBER(SEARCH(CategoriesConfig!H$3:H$12,$B293)))&gt;0</f>
        <v>0</v>
      </c>
      <c r="O293" s="6" t="b">
        <f>SUMPRODUCT(--ISNUMBER(SEARCH(CategoriesConfig!I$3:I$12,$B293)))&gt;0</f>
        <v>0</v>
      </c>
      <c r="P293" s="22" t="b">
        <f t="shared" si="13"/>
        <v>1</v>
      </c>
      <c r="Q293" s="22">
        <f t="shared" si="14"/>
        <v>7</v>
      </c>
      <c r="R293" t="s">
        <v>223</v>
      </c>
      <c r="S293" s="6" t="str">
        <f t="shared" si="15"/>
        <v>M</v>
      </c>
    </row>
    <row r="294" spans="1:19" ht="13.5" thickBot="1" x14ac:dyDescent="0.25">
      <c r="A294" s="4">
        <f>DATEVALUE(DataIn!A314)</f>
        <v>42945</v>
      </c>
      <c r="B294" s="5" t="str">
        <f>DataIn!B314</f>
        <v>POS 512967XXXXXX4422 PAYU-WWW.SWIGGY. POS DEBIT</v>
      </c>
      <c r="C294" s="5" t="str">
        <f>DataIn!C314</f>
        <v>0000030010151979</v>
      </c>
      <c r="D294" s="5" t="str">
        <f>DataIn!D314</f>
        <v>29/07/17</v>
      </c>
      <c r="E294" s="5">
        <f>DataIn!E314</f>
        <v>470</v>
      </c>
      <c r="F294" s="5">
        <f>DataIn!F314</f>
        <v>0</v>
      </c>
      <c r="G294" s="5">
        <f>DataIn!G314</f>
        <v>142650.93</v>
      </c>
      <c r="H294" s="6" t="b">
        <f>SUMPRODUCT(--ISNUMBER(SEARCH(CategoriesConfig!B$3:B$12,$B294)))&gt;0</f>
        <v>0</v>
      </c>
      <c r="I294" s="6" t="b">
        <f>SUMPRODUCT(--ISNUMBER(SEARCH(CategoriesConfig!C$3:C$12,$B294)))&gt;0</f>
        <v>0</v>
      </c>
      <c r="J294" s="6" t="b">
        <f>SUMPRODUCT(--ISNUMBER(SEARCH(CategoriesConfig!D$3:D$12,$B294)))&gt;0</f>
        <v>0</v>
      </c>
      <c r="K294" s="6" t="b">
        <f>SUMPRODUCT(--ISNUMBER(SEARCH(CategoriesConfig!E$3:E$12,$B294)))&gt;0</f>
        <v>0</v>
      </c>
      <c r="L294" s="6" t="b">
        <f>SUMPRODUCT(--ISNUMBER(SEARCH(CategoriesConfig!F$3:F$12,$B294)))&gt;0</f>
        <v>1</v>
      </c>
      <c r="M294" s="6" t="b">
        <f>SUMPRODUCT(--ISNUMBER(SEARCH(CategoriesConfig!G$3:G$12,$B294)))&gt;0</f>
        <v>0</v>
      </c>
      <c r="N294" s="6" t="b">
        <f>SUMPRODUCT(--ISNUMBER(SEARCH(CategoriesConfig!H$3:H$12,$B294)))&gt;0</f>
        <v>0</v>
      </c>
      <c r="O294" s="6" t="b">
        <f>SUMPRODUCT(--ISNUMBER(SEARCH(CategoriesConfig!I$3:I$12,$B294)))&gt;0</f>
        <v>0</v>
      </c>
      <c r="P294" s="22" t="b">
        <f t="shared" si="13"/>
        <v>0</v>
      </c>
      <c r="Q294" s="22">
        <f t="shared" si="14"/>
        <v>7</v>
      </c>
      <c r="S294" s="6" t="str">
        <f t="shared" si="15"/>
        <v>F</v>
      </c>
    </row>
    <row r="295" spans="1:19" ht="13.5" thickBot="1" x14ac:dyDescent="0.25">
      <c r="A295" s="4">
        <f>DATEVALUE(DataIn!A315)</f>
        <v>42945</v>
      </c>
      <c r="B295" s="5" t="str">
        <f>DataIn!B315</f>
        <v>POS 512967XXXXXX4422 TOTAL ENVIRONMEN POS DEBIT</v>
      </c>
      <c r="C295" s="5" t="str">
        <f>DataIn!C315</f>
        <v>0000000000281275</v>
      </c>
      <c r="D295" s="5" t="str">
        <f>DataIn!D315</f>
        <v>29/07/17</v>
      </c>
      <c r="E295" s="5">
        <f>DataIn!E315</f>
        <v>3000</v>
      </c>
      <c r="F295" s="5">
        <f>DataIn!F315</f>
        <v>0</v>
      </c>
      <c r="G295" s="5">
        <f>DataIn!G315</f>
        <v>139650.93</v>
      </c>
      <c r="H295" s="6" t="b">
        <f>SUMPRODUCT(--ISNUMBER(SEARCH(CategoriesConfig!B$3:B$12,$B295)))&gt;0</f>
        <v>0</v>
      </c>
      <c r="I295" s="6" t="b">
        <f>SUMPRODUCT(--ISNUMBER(SEARCH(CategoriesConfig!C$3:C$12,$B295)))&gt;0</f>
        <v>0</v>
      </c>
      <c r="J295" s="6" t="b">
        <f>SUMPRODUCT(--ISNUMBER(SEARCH(CategoriesConfig!D$3:D$12,$B295)))&gt;0</f>
        <v>0</v>
      </c>
      <c r="K295" s="6" t="b">
        <f>SUMPRODUCT(--ISNUMBER(SEARCH(CategoriesConfig!E$3:E$12,$B295)))&gt;0</f>
        <v>0</v>
      </c>
      <c r="L295" s="6" t="b">
        <f>SUMPRODUCT(--ISNUMBER(SEARCH(CategoriesConfig!F$3:F$12,$B295)))&gt;0</f>
        <v>0</v>
      </c>
      <c r="M295" s="6" t="b">
        <f>SUMPRODUCT(--ISNUMBER(SEARCH(CategoriesConfig!G$3:G$12,$B295)))&gt;0</f>
        <v>0</v>
      </c>
      <c r="N295" s="6" t="b">
        <f>SUMPRODUCT(--ISNUMBER(SEARCH(CategoriesConfig!H$3:H$12,$B295)))&gt;0</f>
        <v>0</v>
      </c>
      <c r="O295" s="6" t="b">
        <f>SUMPRODUCT(--ISNUMBER(SEARCH(CategoriesConfig!I$3:I$12,$B295)))&gt;0</f>
        <v>0</v>
      </c>
      <c r="P295" s="22" t="b">
        <f t="shared" si="13"/>
        <v>1</v>
      </c>
      <c r="Q295" s="22">
        <f t="shared" si="14"/>
        <v>7</v>
      </c>
      <c r="R295" t="s">
        <v>221</v>
      </c>
      <c r="S295" s="6" t="str">
        <f t="shared" si="15"/>
        <v>F</v>
      </c>
    </row>
    <row r="296" spans="1:19" ht="13.5" thickBot="1" x14ac:dyDescent="0.25">
      <c r="A296" s="4">
        <f>DATEVALUE(DataIn!A316)</f>
        <v>42945</v>
      </c>
      <c r="B296" s="5" t="str">
        <f>DataIn!B316</f>
        <v>POS 512967XXXXXX4422 SILVER OAK BAR A POS DEBIT</v>
      </c>
      <c r="C296" s="5" t="str">
        <f>DataIn!C316</f>
        <v>0000000000011199</v>
      </c>
      <c r="D296" s="5" t="str">
        <f>DataIn!D316</f>
        <v>29/07/17</v>
      </c>
      <c r="E296" s="5">
        <f>DataIn!E316</f>
        <v>1500</v>
      </c>
      <c r="F296" s="5">
        <f>DataIn!F316</f>
        <v>0</v>
      </c>
      <c r="G296" s="5">
        <f>DataIn!G316</f>
        <v>138150.93</v>
      </c>
      <c r="H296" s="6" t="b">
        <f>SUMPRODUCT(--ISNUMBER(SEARCH(CategoriesConfig!B$3:B$12,$B296)))&gt;0</f>
        <v>0</v>
      </c>
      <c r="I296" s="6" t="b">
        <f>SUMPRODUCT(--ISNUMBER(SEARCH(CategoriesConfig!C$3:C$12,$B296)))&gt;0</f>
        <v>0</v>
      </c>
      <c r="J296" s="6" t="b">
        <f>SUMPRODUCT(--ISNUMBER(SEARCH(CategoriesConfig!D$3:D$12,$B296)))&gt;0</f>
        <v>0</v>
      </c>
      <c r="K296" s="6" t="b">
        <f>SUMPRODUCT(--ISNUMBER(SEARCH(CategoriesConfig!E$3:E$12,$B296)))&gt;0</f>
        <v>0</v>
      </c>
      <c r="L296" s="6" t="b">
        <f>SUMPRODUCT(--ISNUMBER(SEARCH(CategoriesConfig!F$3:F$12,$B296)))&gt;0</f>
        <v>0</v>
      </c>
      <c r="M296" s="6" t="b">
        <f>SUMPRODUCT(--ISNUMBER(SEARCH(CategoriesConfig!G$3:G$12,$B296)))&gt;0</f>
        <v>0</v>
      </c>
      <c r="N296" s="6" t="b">
        <f>SUMPRODUCT(--ISNUMBER(SEARCH(CategoriesConfig!H$3:H$12,$B296)))&gt;0</f>
        <v>0</v>
      </c>
      <c r="O296" s="6" t="b">
        <f>SUMPRODUCT(--ISNUMBER(SEARCH(CategoriesConfig!I$3:I$12,$B296)))&gt;0</f>
        <v>0</v>
      </c>
      <c r="P296" s="22" t="b">
        <f t="shared" si="13"/>
        <v>1</v>
      </c>
      <c r="Q296" s="22">
        <f t="shared" si="14"/>
        <v>7</v>
      </c>
      <c r="R296" t="s">
        <v>221</v>
      </c>
      <c r="S296" s="6" t="str">
        <f t="shared" si="15"/>
        <v>F</v>
      </c>
    </row>
    <row r="297" spans="1:19" ht="13.5" thickBot="1" x14ac:dyDescent="0.25">
      <c r="A297" s="4">
        <f>DATEVALUE(DataIn!A317)</f>
        <v>42946</v>
      </c>
      <c r="B297" s="5" t="str">
        <f>DataIn!B317</f>
        <v>POS 512967XXXXXX4422 ZES*UBER INDIA S POS DEBIT</v>
      </c>
      <c r="C297" s="5" t="str">
        <f>DataIn!C317</f>
        <v>0000721140004916</v>
      </c>
      <c r="D297" s="5" t="str">
        <f>DataIn!D317</f>
        <v>30/07/17</v>
      </c>
      <c r="E297" s="5">
        <f>DataIn!E317</f>
        <v>297.12</v>
      </c>
      <c r="F297" s="5">
        <f>DataIn!F317</f>
        <v>0</v>
      </c>
      <c r="G297" s="5">
        <f>DataIn!G317</f>
        <v>137853.81</v>
      </c>
      <c r="H297" s="6" t="b">
        <f>SUMPRODUCT(--ISNUMBER(SEARCH(CategoriesConfig!B$3:B$12,$B297)))&gt;0</f>
        <v>0</v>
      </c>
      <c r="I297" s="6" t="b">
        <f>SUMPRODUCT(--ISNUMBER(SEARCH(CategoriesConfig!C$3:C$12,$B297)))&gt;0</f>
        <v>1</v>
      </c>
      <c r="J297" s="6" t="b">
        <f>SUMPRODUCT(--ISNUMBER(SEARCH(CategoriesConfig!D$3:D$12,$B297)))&gt;0</f>
        <v>0</v>
      </c>
      <c r="K297" s="6" t="b">
        <f>SUMPRODUCT(--ISNUMBER(SEARCH(CategoriesConfig!E$3:E$12,$B297)))&gt;0</f>
        <v>0</v>
      </c>
      <c r="L297" s="6" t="b">
        <f>SUMPRODUCT(--ISNUMBER(SEARCH(CategoriesConfig!F$3:F$12,$B297)))&gt;0</f>
        <v>0</v>
      </c>
      <c r="M297" s="6" t="b">
        <f>SUMPRODUCT(--ISNUMBER(SEARCH(CategoriesConfig!G$3:G$12,$B297)))&gt;0</f>
        <v>0</v>
      </c>
      <c r="N297" s="6" t="b">
        <f>SUMPRODUCT(--ISNUMBER(SEARCH(CategoriesConfig!H$3:H$12,$B297)))&gt;0</f>
        <v>0</v>
      </c>
      <c r="O297" s="6" t="b">
        <f>SUMPRODUCT(--ISNUMBER(SEARCH(CategoriesConfig!I$3:I$12,$B297)))&gt;0</f>
        <v>0</v>
      </c>
      <c r="P297" s="22" t="b">
        <f t="shared" si="13"/>
        <v>0</v>
      </c>
      <c r="Q297" s="22">
        <f t="shared" si="14"/>
        <v>7</v>
      </c>
      <c r="S297" s="6" t="str">
        <f t="shared" si="15"/>
        <v>U</v>
      </c>
    </row>
    <row r="298" spans="1:19" ht="13.5" thickBot="1" x14ac:dyDescent="0.25">
      <c r="A298" s="4">
        <f>DATEVALUE(DataIn!A318)</f>
        <v>42946</v>
      </c>
      <c r="B298" s="5" t="str">
        <f>DataIn!B318</f>
        <v>NWD-512967XXXXXX4422-VD103802-BANGALORE</v>
      </c>
      <c r="C298" s="5" t="str">
        <f>DataIn!C318</f>
        <v>0000721114166278</v>
      </c>
      <c r="D298" s="5" t="str">
        <f>DataIn!D318</f>
        <v>30/07/17</v>
      </c>
      <c r="E298" s="5">
        <f>DataIn!E318</f>
        <v>4000</v>
      </c>
      <c r="F298" s="5">
        <f>DataIn!F318</f>
        <v>0</v>
      </c>
      <c r="G298" s="5">
        <f>DataIn!G318</f>
        <v>133853.81</v>
      </c>
      <c r="H298" s="6" t="b">
        <f>SUMPRODUCT(--ISNUMBER(SEARCH(CategoriesConfig!B$3:B$12,$B298)))&gt;0</f>
        <v>0</v>
      </c>
      <c r="I298" s="6" t="b">
        <f>SUMPRODUCT(--ISNUMBER(SEARCH(CategoriesConfig!C$3:C$12,$B298)))&gt;0</f>
        <v>0</v>
      </c>
      <c r="J298" s="6" t="b">
        <f>SUMPRODUCT(--ISNUMBER(SEARCH(CategoriesConfig!D$3:D$12,$B298)))&gt;0</f>
        <v>0</v>
      </c>
      <c r="K298" s="6" t="b">
        <f>SUMPRODUCT(--ISNUMBER(SEARCH(CategoriesConfig!E$3:E$12,$B298)))&gt;0</f>
        <v>0</v>
      </c>
      <c r="L298" s="6" t="b">
        <f>SUMPRODUCT(--ISNUMBER(SEARCH(CategoriesConfig!F$3:F$12,$B298)))&gt;0</f>
        <v>0</v>
      </c>
      <c r="M298" s="6" t="b">
        <f>SUMPRODUCT(--ISNUMBER(SEARCH(CategoriesConfig!G$3:G$12,$B298)))&gt;0</f>
        <v>0</v>
      </c>
      <c r="N298" s="6" t="b">
        <f>SUMPRODUCT(--ISNUMBER(SEARCH(CategoriesConfig!H$3:H$12,$B298)))&gt;0</f>
        <v>1</v>
      </c>
      <c r="O298" s="6" t="b">
        <f>SUMPRODUCT(--ISNUMBER(SEARCH(CategoriesConfig!I$3:I$12,$B298)))&gt;0</f>
        <v>0</v>
      </c>
      <c r="P298" s="22" t="b">
        <f t="shared" si="13"/>
        <v>0</v>
      </c>
      <c r="Q298" s="22">
        <f t="shared" si="14"/>
        <v>7</v>
      </c>
      <c r="S298" s="6" t="str">
        <f t="shared" si="15"/>
        <v>C</v>
      </c>
    </row>
    <row r="299" spans="1:19" ht="13.5" thickBot="1" x14ac:dyDescent="0.25">
      <c r="A299" s="4">
        <f>DATEVALUE(DataIn!A319)</f>
        <v>42946</v>
      </c>
      <c r="B299" s="5" t="str">
        <f>DataIn!B319</f>
        <v>POS 512967XXXXXX4422 FREE KICK ARENAS POS DEBIT</v>
      </c>
      <c r="C299" s="5" t="str">
        <f>DataIn!C319</f>
        <v>0000000000000069</v>
      </c>
      <c r="D299" s="5" t="str">
        <f>DataIn!D319</f>
        <v>30/07/17</v>
      </c>
      <c r="E299" s="5">
        <f>DataIn!E319</f>
        <v>300</v>
      </c>
      <c r="F299" s="5">
        <f>DataIn!F319</f>
        <v>0</v>
      </c>
      <c r="G299" s="5">
        <f>DataIn!G319</f>
        <v>133553.81</v>
      </c>
      <c r="H299" s="6" t="b">
        <f>SUMPRODUCT(--ISNUMBER(SEARCH(CategoriesConfig!B$3:B$12,$B299)))&gt;0</f>
        <v>0</v>
      </c>
      <c r="I299" s="6" t="b">
        <f>SUMPRODUCT(--ISNUMBER(SEARCH(CategoriesConfig!C$3:C$12,$B299)))&gt;0</f>
        <v>0</v>
      </c>
      <c r="J299" s="6" t="b">
        <f>SUMPRODUCT(--ISNUMBER(SEARCH(CategoriesConfig!D$3:D$12,$B299)))&gt;0</f>
        <v>0</v>
      </c>
      <c r="K299" s="6" t="b">
        <f>SUMPRODUCT(--ISNUMBER(SEARCH(CategoriesConfig!E$3:E$12,$B299)))&gt;0</f>
        <v>0</v>
      </c>
      <c r="L299" s="6" t="b">
        <f>SUMPRODUCT(--ISNUMBER(SEARCH(CategoriesConfig!F$3:F$12,$B299)))&gt;0</f>
        <v>0</v>
      </c>
      <c r="M299" s="6" t="b">
        <f>SUMPRODUCT(--ISNUMBER(SEARCH(CategoriesConfig!G$3:G$12,$B299)))&gt;0</f>
        <v>0</v>
      </c>
      <c r="N299" s="6" t="b">
        <f>SUMPRODUCT(--ISNUMBER(SEARCH(CategoriesConfig!H$3:H$12,$B299)))&gt;0</f>
        <v>0</v>
      </c>
      <c r="O299" s="6" t="b">
        <f>SUMPRODUCT(--ISNUMBER(SEARCH(CategoriesConfig!I$3:I$12,$B299)))&gt;0</f>
        <v>0</v>
      </c>
      <c r="P299" s="22" t="b">
        <f t="shared" si="13"/>
        <v>1</v>
      </c>
      <c r="Q299" s="22">
        <f t="shared" si="14"/>
        <v>7</v>
      </c>
      <c r="R299" t="s">
        <v>223</v>
      </c>
      <c r="S299" s="6" t="str">
        <f t="shared" si="15"/>
        <v>M</v>
      </c>
    </row>
    <row r="300" spans="1:19" ht="13.5" thickBot="1" x14ac:dyDescent="0.25">
      <c r="A300" s="4">
        <f>DATEVALUE(DataIn!A320)</f>
        <v>42946</v>
      </c>
      <c r="B300" s="5" t="str">
        <f>DataIn!B320</f>
        <v>POS 512967XXXXXX4422 LABAMBA FASHIONS POS DEBIT</v>
      </c>
      <c r="C300" s="5" t="str">
        <f>DataIn!C320</f>
        <v>0000000000013976</v>
      </c>
      <c r="D300" s="5" t="str">
        <f>DataIn!D320</f>
        <v>30/07/17</v>
      </c>
      <c r="E300" s="5">
        <f>DataIn!E320</f>
        <v>367</v>
      </c>
      <c r="F300" s="5">
        <f>DataIn!F320</f>
        <v>0</v>
      </c>
      <c r="G300" s="5">
        <f>DataIn!G320</f>
        <v>133186.81</v>
      </c>
      <c r="H300" s="6" t="b">
        <f>SUMPRODUCT(--ISNUMBER(SEARCH(CategoriesConfig!B$3:B$12,$B300)))&gt;0</f>
        <v>0</v>
      </c>
      <c r="I300" s="6" t="b">
        <f>SUMPRODUCT(--ISNUMBER(SEARCH(CategoriesConfig!C$3:C$12,$B300)))&gt;0</f>
        <v>0</v>
      </c>
      <c r="J300" s="6" t="b">
        <f>SUMPRODUCT(--ISNUMBER(SEARCH(CategoriesConfig!D$3:D$12,$B300)))&gt;0</f>
        <v>0</v>
      </c>
      <c r="K300" s="6" t="b">
        <f>SUMPRODUCT(--ISNUMBER(SEARCH(CategoriesConfig!E$3:E$12,$B300)))&gt;0</f>
        <v>0</v>
      </c>
      <c r="L300" s="6" t="b">
        <f>SUMPRODUCT(--ISNUMBER(SEARCH(CategoriesConfig!F$3:F$12,$B300)))&gt;0</f>
        <v>0</v>
      </c>
      <c r="M300" s="6" t="b">
        <f>SUMPRODUCT(--ISNUMBER(SEARCH(CategoriesConfig!G$3:G$12,$B300)))&gt;0</f>
        <v>0</v>
      </c>
      <c r="N300" s="6" t="b">
        <f>SUMPRODUCT(--ISNUMBER(SEARCH(CategoriesConfig!H$3:H$12,$B300)))&gt;0</f>
        <v>0</v>
      </c>
      <c r="O300" s="6" t="b">
        <f>SUMPRODUCT(--ISNUMBER(SEARCH(CategoriesConfig!I$3:I$12,$B300)))&gt;0</f>
        <v>0</v>
      </c>
      <c r="P300" s="22" t="b">
        <f t="shared" si="13"/>
        <v>1</v>
      </c>
      <c r="Q300" s="22">
        <f t="shared" si="14"/>
        <v>7</v>
      </c>
      <c r="R300" t="s">
        <v>223</v>
      </c>
      <c r="S300" s="6" t="str">
        <f t="shared" si="15"/>
        <v>M</v>
      </c>
    </row>
    <row r="301" spans="1:19" ht="13.5" thickBot="1" x14ac:dyDescent="0.25">
      <c r="A301" s="4">
        <f>DATEVALUE(DataIn!A321)</f>
        <v>42946</v>
      </c>
      <c r="B301" s="5" t="str">
        <f>DataIn!B321</f>
        <v>POS 512967XXXXXX4422 BRIK OVEN POS DEBIT</v>
      </c>
      <c r="C301" s="5" t="str">
        <f>DataIn!C321</f>
        <v>0000000000017196</v>
      </c>
      <c r="D301" s="5" t="str">
        <f>DataIn!D321</f>
        <v>31/07/17</v>
      </c>
      <c r="E301" s="5">
        <f>DataIn!E321</f>
        <v>1300</v>
      </c>
      <c r="F301" s="5">
        <f>DataIn!F321</f>
        <v>0</v>
      </c>
      <c r="G301" s="5">
        <f>DataIn!G321</f>
        <v>131886.81</v>
      </c>
      <c r="H301" s="6" t="b">
        <f>SUMPRODUCT(--ISNUMBER(SEARCH(CategoriesConfig!B$3:B$12,$B301)))&gt;0</f>
        <v>0</v>
      </c>
      <c r="I301" s="6" t="b">
        <f>SUMPRODUCT(--ISNUMBER(SEARCH(CategoriesConfig!C$3:C$12,$B301)))&gt;0</f>
        <v>0</v>
      </c>
      <c r="J301" s="6" t="b">
        <f>SUMPRODUCT(--ISNUMBER(SEARCH(CategoriesConfig!D$3:D$12,$B301)))&gt;0</f>
        <v>0</v>
      </c>
      <c r="K301" s="6" t="b">
        <f>SUMPRODUCT(--ISNUMBER(SEARCH(CategoriesConfig!E$3:E$12,$B301)))&gt;0</f>
        <v>0</v>
      </c>
      <c r="L301" s="6" t="b">
        <f>SUMPRODUCT(--ISNUMBER(SEARCH(CategoriesConfig!F$3:F$12,$B301)))&gt;0</f>
        <v>0</v>
      </c>
      <c r="M301" s="6" t="b">
        <f>SUMPRODUCT(--ISNUMBER(SEARCH(CategoriesConfig!G$3:G$12,$B301)))&gt;0</f>
        <v>0</v>
      </c>
      <c r="N301" s="6" t="b">
        <f>SUMPRODUCT(--ISNUMBER(SEARCH(CategoriesConfig!H$3:H$12,$B301)))&gt;0</f>
        <v>0</v>
      </c>
      <c r="O301" s="6" t="b">
        <f>SUMPRODUCT(--ISNUMBER(SEARCH(CategoriesConfig!I$3:I$12,$B301)))&gt;0</f>
        <v>0</v>
      </c>
      <c r="P301" s="22" t="b">
        <f t="shared" si="13"/>
        <v>1</v>
      </c>
      <c r="Q301" s="22">
        <f t="shared" si="14"/>
        <v>7</v>
      </c>
      <c r="R301" t="s">
        <v>221</v>
      </c>
      <c r="S301" s="6" t="str">
        <f t="shared" si="15"/>
        <v>F</v>
      </c>
    </row>
    <row r="302" spans="1:19" ht="13.5" thickBot="1" x14ac:dyDescent="0.25">
      <c r="A302" s="4">
        <f>DATEVALUE(DataIn!A322)</f>
        <v>42947</v>
      </c>
      <c r="B302" s="5" t="str">
        <f>DataIn!B322</f>
        <v>POS 512967XXXXXX4422 ZES*UBER INDIA S POS DEBIT</v>
      </c>
      <c r="C302" s="5" t="str">
        <f>DataIn!C322</f>
        <v>0000721240046170</v>
      </c>
      <c r="D302" s="5" t="str">
        <f>DataIn!D322</f>
        <v>31/07/17</v>
      </c>
      <c r="E302" s="5">
        <f>DataIn!E322</f>
        <v>50.04</v>
      </c>
      <c r="F302" s="5">
        <f>DataIn!F322</f>
        <v>0</v>
      </c>
      <c r="G302" s="5">
        <f>DataIn!G322</f>
        <v>131836.76999999999</v>
      </c>
      <c r="H302" s="6" t="b">
        <f>SUMPRODUCT(--ISNUMBER(SEARCH(CategoriesConfig!B$3:B$12,$B302)))&gt;0</f>
        <v>0</v>
      </c>
      <c r="I302" s="6" t="b">
        <f>SUMPRODUCT(--ISNUMBER(SEARCH(CategoriesConfig!C$3:C$12,$B302)))&gt;0</f>
        <v>1</v>
      </c>
      <c r="J302" s="6" t="b">
        <f>SUMPRODUCT(--ISNUMBER(SEARCH(CategoriesConfig!D$3:D$12,$B302)))&gt;0</f>
        <v>0</v>
      </c>
      <c r="K302" s="6" t="b">
        <f>SUMPRODUCT(--ISNUMBER(SEARCH(CategoriesConfig!E$3:E$12,$B302)))&gt;0</f>
        <v>0</v>
      </c>
      <c r="L302" s="6" t="b">
        <f>SUMPRODUCT(--ISNUMBER(SEARCH(CategoriesConfig!F$3:F$12,$B302)))&gt;0</f>
        <v>0</v>
      </c>
      <c r="M302" s="6" t="b">
        <f>SUMPRODUCT(--ISNUMBER(SEARCH(CategoriesConfig!G$3:G$12,$B302)))&gt;0</f>
        <v>0</v>
      </c>
      <c r="N302" s="6" t="b">
        <f>SUMPRODUCT(--ISNUMBER(SEARCH(CategoriesConfig!H$3:H$12,$B302)))&gt;0</f>
        <v>0</v>
      </c>
      <c r="O302" s="6" t="b">
        <f>SUMPRODUCT(--ISNUMBER(SEARCH(CategoriesConfig!I$3:I$12,$B302)))&gt;0</f>
        <v>0</v>
      </c>
      <c r="P302" s="22" t="b">
        <f t="shared" si="13"/>
        <v>0</v>
      </c>
      <c r="Q302" s="22">
        <f t="shared" si="14"/>
        <v>7</v>
      </c>
      <c r="S302" s="6" t="str">
        <f t="shared" si="15"/>
        <v>U</v>
      </c>
    </row>
    <row r="303" spans="1:19" ht="13.5" thickBot="1" x14ac:dyDescent="0.25">
      <c r="A303" s="4">
        <f>DATEVALUE(DataIn!A323)</f>
        <v>42947</v>
      </c>
      <c r="B303" s="5" t="str">
        <f>DataIn!B323</f>
        <v>POS 512967XXXXXX4422 CELEBRATIONS, POS DEBIT</v>
      </c>
      <c r="C303" s="5" t="str">
        <f>DataIn!C323</f>
        <v>0000000000002002</v>
      </c>
      <c r="D303" s="5" t="str">
        <f>DataIn!D323</f>
        <v>31/07/17</v>
      </c>
      <c r="E303" s="5">
        <f>DataIn!E323</f>
        <v>94</v>
      </c>
      <c r="F303" s="5">
        <f>DataIn!F323</f>
        <v>0</v>
      </c>
      <c r="G303" s="5">
        <f>DataIn!G323</f>
        <v>131742.76999999999</v>
      </c>
      <c r="H303" s="6" t="b">
        <f>SUMPRODUCT(--ISNUMBER(SEARCH(CategoriesConfig!B$3:B$12,$B303)))&gt;0</f>
        <v>0</v>
      </c>
      <c r="I303" s="6" t="b">
        <f>SUMPRODUCT(--ISNUMBER(SEARCH(CategoriesConfig!C$3:C$12,$B303)))&gt;0</f>
        <v>0</v>
      </c>
      <c r="J303" s="6" t="b">
        <f>SUMPRODUCT(--ISNUMBER(SEARCH(CategoriesConfig!D$3:D$12,$B303)))&gt;0</f>
        <v>1</v>
      </c>
      <c r="K303" s="6" t="b">
        <f>SUMPRODUCT(--ISNUMBER(SEARCH(CategoriesConfig!E$3:E$12,$B303)))&gt;0</f>
        <v>0</v>
      </c>
      <c r="L303" s="6" t="b">
        <f>SUMPRODUCT(--ISNUMBER(SEARCH(CategoriesConfig!F$3:F$12,$B303)))&gt;0</f>
        <v>0</v>
      </c>
      <c r="M303" s="6" t="b">
        <f>SUMPRODUCT(--ISNUMBER(SEARCH(CategoriesConfig!G$3:G$12,$B303)))&gt;0</f>
        <v>0</v>
      </c>
      <c r="N303" s="6" t="b">
        <f>SUMPRODUCT(--ISNUMBER(SEARCH(CategoriesConfig!H$3:H$12,$B303)))&gt;0</f>
        <v>0</v>
      </c>
      <c r="O303" s="6" t="b">
        <f>SUMPRODUCT(--ISNUMBER(SEARCH(CategoriesConfig!I$3:I$12,$B303)))&gt;0</f>
        <v>0</v>
      </c>
      <c r="P303" s="22" t="b">
        <f t="shared" si="13"/>
        <v>0</v>
      </c>
      <c r="Q303" s="22">
        <f t="shared" si="14"/>
        <v>7</v>
      </c>
      <c r="S303" s="6" t="str">
        <f t="shared" si="15"/>
        <v>L</v>
      </c>
    </row>
    <row r="304" spans="1:19" ht="13.5" thickBot="1" x14ac:dyDescent="0.25">
      <c r="A304" s="4">
        <f>DATEVALUE(DataIn!A324)</f>
        <v>42947</v>
      </c>
      <c r="B304" s="5" t="str">
        <f>DataIn!B324</f>
        <v>POS 512967XXXXXX4422 CARROT HEALTH AN POS DEBIT</v>
      </c>
      <c r="C304" s="5" t="str">
        <f>DataIn!C324</f>
        <v>0000000000003199</v>
      </c>
      <c r="D304" s="5" t="str">
        <f>DataIn!D324</f>
        <v>31/07/17</v>
      </c>
      <c r="E304" s="5">
        <f>DataIn!E324</f>
        <v>177</v>
      </c>
      <c r="F304" s="5">
        <f>DataIn!F324</f>
        <v>0</v>
      </c>
      <c r="G304" s="5">
        <f>DataIn!G324</f>
        <v>131565.76999999999</v>
      </c>
      <c r="H304" s="6" t="b">
        <f>SUMPRODUCT(--ISNUMBER(SEARCH(CategoriesConfig!B$3:B$12,$B304)))&gt;0</f>
        <v>0</v>
      </c>
      <c r="I304" s="6" t="b">
        <f>SUMPRODUCT(--ISNUMBER(SEARCH(CategoriesConfig!C$3:C$12,$B304)))&gt;0</f>
        <v>0</v>
      </c>
      <c r="J304" s="6" t="b">
        <f>SUMPRODUCT(--ISNUMBER(SEARCH(CategoriesConfig!D$3:D$12,$B304)))&gt;0</f>
        <v>0</v>
      </c>
      <c r="K304" s="6" t="b">
        <f>SUMPRODUCT(--ISNUMBER(SEARCH(CategoriesConfig!E$3:E$12,$B304)))&gt;0</f>
        <v>0</v>
      </c>
      <c r="L304" s="6" t="b">
        <f>SUMPRODUCT(--ISNUMBER(SEARCH(CategoriesConfig!F$3:F$12,$B304)))&gt;0</f>
        <v>0</v>
      </c>
      <c r="M304" s="6" t="b">
        <f>SUMPRODUCT(--ISNUMBER(SEARCH(CategoriesConfig!G$3:G$12,$B304)))&gt;0</f>
        <v>0</v>
      </c>
      <c r="N304" s="6" t="b">
        <f>SUMPRODUCT(--ISNUMBER(SEARCH(CategoriesConfig!H$3:H$12,$B304)))&gt;0</f>
        <v>0</v>
      </c>
      <c r="O304" s="6" t="b">
        <f>SUMPRODUCT(--ISNUMBER(SEARCH(CategoriesConfig!I$3:I$12,$B304)))&gt;0</f>
        <v>0</v>
      </c>
      <c r="P304" s="22" t="b">
        <f t="shared" si="13"/>
        <v>1</v>
      </c>
      <c r="Q304" s="22">
        <f t="shared" si="14"/>
        <v>7</v>
      </c>
      <c r="R304" t="s">
        <v>223</v>
      </c>
      <c r="S304" s="6" t="str">
        <f t="shared" si="15"/>
        <v>M</v>
      </c>
    </row>
    <row r="305" spans="1:19" ht="13.5" thickBot="1" x14ac:dyDescent="0.25">
      <c r="A305" s="4">
        <f>DATEVALUE(DataIn!A325)</f>
        <v>42947</v>
      </c>
      <c r="B305" s="5" t="str">
        <f>DataIn!B325</f>
        <v>POS 512967XXXXXX4422 ZES*UBER INDIA S POS DEBIT</v>
      </c>
      <c r="C305" s="5" t="str">
        <f>DataIn!C325</f>
        <v>0000721200179152</v>
      </c>
      <c r="D305" s="5" t="str">
        <f>DataIn!D325</f>
        <v>31/07/17</v>
      </c>
      <c r="E305" s="5">
        <f>DataIn!E325</f>
        <v>194.95</v>
      </c>
      <c r="F305" s="5">
        <f>DataIn!F325</f>
        <v>0</v>
      </c>
      <c r="G305" s="5">
        <f>DataIn!G325</f>
        <v>131370.82</v>
      </c>
      <c r="H305" s="6" t="b">
        <f>SUMPRODUCT(--ISNUMBER(SEARCH(CategoriesConfig!B$3:B$12,$B305)))&gt;0</f>
        <v>0</v>
      </c>
      <c r="I305" s="6" t="b">
        <f>SUMPRODUCT(--ISNUMBER(SEARCH(CategoriesConfig!C$3:C$12,$B305)))&gt;0</f>
        <v>1</v>
      </c>
      <c r="J305" s="6" t="b">
        <f>SUMPRODUCT(--ISNUMBER(SEARCH(CategoriesConfig!D$3:D$12,$B305)))&gt;0</f>
        <v>0</v>
      </c>
      <c r="K305" s="6" t="b">
        <f>SUMPRODUCT(--ISNUMBER(SEARCH(CategoriesConfig!E$3:E$12,$B305)))&gt;0</f>
        <v>0</v>
      </c>
      <c r="L305" s="6" t="b">
        <f>SUMPRODUCT(--ISNUMBER(SEARCH(CategoriesConfig!F$3:F$12,$B305)))&gt;0</f>
        <v>0</v>
      </c>
      <c r="M305" s="6" t="b">
        <f>SUMPRODUCT(--ISNUMBER(SEARCH(CategoriesConfig!G$3:G$12,$B305)))&gt;0</f>
        <v>0</v>
      </c>
      <c r="N305" s="6" t="b">
        <f>SUMPRODUCT(--ISNUMBER(SEARCH(CategoriesConfig!H$3:H$12,$B305)))&gt;0</f>
        <v>0</v>
      </c>
      <c r="O305" s="6" t="b">
        <f>SUMPRODUCT(--ISNUMBER(SEARCH(CategoriesConfig!I$3:I$12,$B305)))&gt;0</f>
        <v>0</v>
      </c>
      <c r="P305" s="22" t="b">
        <f t="shared" si="13"/>
        <v>0</v>
      </c>
      <c r="Q305" s="22">
        <f t="shared" si="14"/>
        <v>7</v>
      </c>
      <c r="S305" s="6" t="str">
        <f t="shared" si="15"/>
        <v>U</v>
      </c>
    </row>
    <row r="306" spans="1:19" ht="13.5" thickBot="1" x14ac:dyDescent="0.25">
      <c r="A306" s="4">
        <f>DATEVALUE(DataIn!A326)</f>
        <v>42948</v>
      </c>
      <c r="B306" s="5" t="str">
        <f>DataIn!B326</f>
        <v>POS 512967XXXXXX4422 BUREAU OF IMMIGR POS DEBIT</v>
      </c>
      <c r="C306" s="5" t="str">
        <f>DataIn!C326</f>
        <v>0000000000015420</v>
      </c>
      <c r="D306" s="5" t="str">
        <f>DataIn!D326</f>
        <v>01/08/17</v>
      </c>
      <c r="E306" s="5">
        <f>DataIn!E326</f>
        <v>32883.5</v>
      </c>
      <c r="F306" s="5">
        <f>DataIn!F326</f>
        <v>0</v>
      </c>
      <c r="G306" s="5">
        <f>DataIn!G326</f>
        <v>98487.32</v>
      </c>
      <c r="H306" s="6" t="b">
        <f>SUMPRODUCT(--ISNUMBER(SEARCH(CategoriesConfig!B$3:B$12,$B306)))&gt;0</f>
        <v>0</v>
      </c>
      <c r="I306" s="6" t="b">
        <f>SUMPRODUCT(--ISNUMBER(SEARCH(CategoriesConfig!C$3:C$12,$B306)))&gt;0</f>
        <v>0</v>
      </c>
      <c r="J306" s="6" t="b">
        <f>SUMPRODUCT(--ISNUMBER(SEARCH(CategoriesConfig!D$3:D$12,$B306)))&gt;0</f>
        <v>0</v>
      </c>
      <c r="K306" s="6" t="b">
        <f>SUMPRODUCT(--ISNUMBER(SEARCH(CategoriesConfig!E$3:E$12,$B306)))&gt;0</f>
        <v>0</v>
      </c>
      <c r="L306" s="6" t="b">
        <f>SUMPRODUCT(--ISNUMBER(SEARCH(CategoriesConfig!F$3:F$12,$B306)))&gt;0</f>
        <v>0</v>
      </c>
      <c r="M306" s="6" t="b">
        <f>SUMPRODUCT(--ISNUMBER(SEARCH(CategoriesConfig!G$3:G$12,$B306)))&gt;0</f>
        <v>0</v>
      </c>
      <c r="N306" s="6" t="b">
        <f>SUMPRODUCT(--ISNUMBER(SEARCH(CategoriesConfig!H$3:H$12,$B306)))&gt;0</f>
        <v>0</v>
      </c>
      <c r="O306" s="6" t="b">
        <f>SUMPRODUCT(--ISNUMBER(SEARCH(CategoriesConfig!I$3:I$12,$B306)))&gt;0</f>
        <v>0</v>
      </c>
      <c r="P306" s="22" t="b">
        <f t="shared" ref="P306:P350" si="16">IF(SUMIF(H306:O306,"TRUE",H$1:O$1)=0,TRUE,FALSE)</f>
        <v>1</v>
      </c>
      <c r="Q306" s="22">
        <f t="shared" ref="Q306:Q350" si="17">MONTH(A306)</f>
        <v>8</v>
      </c>
      <c r="R306" t="s">
        <v>220</v>
      </c>
      <c r="S306" s="6" t="str">
        <f t="shared" si="15"/>
        <v>S</v>
      </c>
    </row>
    <row r="307" spans="1:19" ht="13.5" thickBot="1" x14ac:dyDescent="0.25">
      <c r="A307" s="4">
        <f>DATEVALUE(DataIn!A327)</f>
        <v>42948</v>
      </c>
      <c r="B307" s="5" t="str">
        <f>DataIn!B327</f>
        <v>POS 512967XXXXXX4422 ROYAL MART-RICHM POS DEBIT</v>
      </c>
      <c r="C307" s="5" t="str">
        <f>DataIn!C327</f>
        <v>0000000000141248</v>
      </c>
      <c r="D307" s="5" t="str">
        <f>DataIn!D327</f>
        <v>01/08/17</v>
      </c>
      <c r="E307" s="5">
        <f>DataIn!E327</f>
        <v>239</v>
      </c>
      <c r="F307" s="5">
        <f>DataIn!F327</f>
        <v>0</v>
      </c>
      <c r="G307" s="5">
        <f>DataIn!G327</f>
        <v>98248.320000000007</v>
      </c>
      <c r="H307" s="6" t="b">
        <f>SUMPRODUCT(--ISNUMBER(SEARCH(CategoriesConfig!B$3:B$12,$B307)))&gt;0</f>
        <v>0</v>
      </c>
      <c r="I307" s="6" t="b">
        <f>SUMPRODUCT(--ISNUMBER(SEARCH(CategoriesConfig!C$3:C$12,$B307)))&gt;0</f>
        <v>0</v>
      </c>
      <c r="J307" s="6" t="b">
        <f>SUMPRODUCT(--ISNUMBER(SEARCH(CategoriesConfig!D$3:D$12,$B307)))&gt;0</f>
        <v>0</v>
      </c>
      <c r="K307" s="6" t="b">
        <f>SUMPRODUCT(--ISNUMBER(SEARCH(CategoriesConfig!E$3:E$12,$B307)))&gt;0</f>
        <v>0</v>
      </c>
      <c r="L307" s="6" t="b">
        <f>SUMPRODUCT(--ISNUMBER(SEARCH(CategoriesConfig!F$3:F$12,$B307)))&gt;0</f>
        <v>0</v>
      </c>
      <c r="M307" s="6" t="b">
        <f>SUMPRODUCT(--ISNUMBER(SEARCH(CategoriesConfig!G$3:G$12,$B307)))&gt;0</f>
        <v>1</v>
      </c>
      <c r="N307" s="6" t="b">
        <f>SUMPRODUCT(--ISNUMBER(SEARCH(CategoriesConfig!H$3:H$12,$B307)))&gt;0</f>
        <v>0</v>
      </c>
      <c r="O307" s="6" t="b">
        <f>SUMPRODUCT(--ISNUMBER(SEARCH(CategoriesConfig!I$3:I$12,$B307)))&gt;0</f>
        <v>0</v>
      </c>
      <c r="P307" s="22" t="b">
        <f t="shared" si="16"/>
        <v>0</v>
      </c>
      <c r="Q307" s="22">
        <f t="shared" si="17"/>
        <v>8</v>
      </c>
      <c r="S307" s="6" t="str">
        <f t="shared" si="15"/>
        <v>M</v>
      </c>
    </row>
    <row r="308" spans="1:19" ht="13.5" thickBot="1" x14ac:dyDescent="0.25">
      <c r="A308" s="4">
        <f>DATEVALUE(DataIn!A328)</f>
        <v>42949</v>
      </c>
      <c r="B308" s="5" t="str">
        <f>DataIn!B328</f>
        <v>POS 512967XXXXXX4422 ZES*UBER INDIA S POS DEBIT</v>
      </c>
      <c r="C308" s="5" t="str">
        <f>DataIn!C328</f>
        <v>0000721400024270</v>
      </c>
      <c r="D308" s="5" t="str">
        <f>DataIn!D328</f>
        <v>02/08/17</v>
      </c>
      <c r="E308" s="5">
        <f>DataIn!E328</f>
        <v>161.31</v>
      </c>
      <c r="F308" s="5">
        <f>DataIn!F328</f>
        <v>0</v>
      </c>
      <c r="G308" s="5">
        <f>DataIn!G328</f>
        <v>98087.01</v>
      </c>
      <c r="H308" s="6" t="b">
        <f>SUMPRODUCT(--ISNUMBER(SEARCH(CategoriesConfig!B$3:B$12,$B308)))&gt;0</f>
        <v>0</v>
      </c>
      <c r="I308" s="6" t="b">
        <f>SUMPRODUCT(--ISNUMBER(SEARCH(CategoriesConfig!C$3:C$12,$B308)))&gt;0</f>
        <v>1</v>
      </c>
      <c r="J308" s="6" t="b">
        <f>SUMPRODUCT(--ISNUMBER(SEARCH(CategoriesConfig!D$3:D$12,$B308)))&gt;0</f>
        <v>0</v>
      </c>
      <c r="K308" s="6" t="b">
        <f>SUMPRODUCT(--ISNUMBER(SEARCH(CategoriesConfig!E$3:E$12,$B308)))&gt;0</f>
        <v>0</v>
      </c>
      <c r="L308" s="6" t="b">
        <f>SUMPRODUCT(--ISNUMBER(SEARCH(CategoriesConfig!F$3:F$12,$B308)))&gt;0</f>
        <v>0</v>
      </c>
      <c r="M308" s="6" t="b">
        <f>SUMPRODUCT(--ISNUMBER(SEARCH(CategoriesConfig!G$3:G$12,$B308)))&gt;0</f>
        <v>0</v>
      </c>
      <c r="N308" s="6" t="b">
        <f>SUMPRODUCT(--ISNUMBER(SEARCH(CategoriesConfig!H$3:H$12,$B308)))&gt;0</f>
        <v>0</v>
      </c>
      <c r="O308" s="6" t="b">
        <f>SUMPRODUCT(--ISNUMBER(SEARCH(CategoriesConfig!I$3:I$12,$B308)))&gt;0</f>
        <v>0</v>
      </c>
      <c r="P308" s="22" t="b">
        <f t="shared" si="16"/>
        <v>0</v>
      </c>
      <c r="Q308" s="22">
        <f t="shared" si="17"/>
        <v>8</v>
      </c>
      <c r="S308" s="6" t="str">
        <f t="shared" si="15"/>
        <v>U</v>
      </c>
    </row>
    <row r="309" spans="1:19" ht="13.5" thickBot="1" x14ac:dyDescent="0.25">
      <c r="A309" s="4">
        <f>DATEVALUE(DataIn!A329)</f>
        <v>42949</v>
      </c>
      <c r="B309" s="5" t="str">
        <f>DataIn!B329</f>
        <v>POS 512967XXXXXX4422 MC DONALDS. POS DEBIT</v>
      </c>
      <c r="C309" s="5" t="str">
        <f>DataIn!C329</f>
        <v>0000000000067073</v>
      </c>
      <c r="D309" s="5" t="str">
        <f>DataIn!D329</f>
        <v>02/08/17</v>
      </c>
      <c r="E309" s="5">
        <f>DataIn!E329</f>
        <v>453</v>
      </c>
      <c r="F309" s="5">
        <f>DataIn!F329</f>
        <v>0</v>
      </c>
      <c r="G309" s="5">
        <f>DataIn!G329</f>
        <v>97634.01</v>
      </c>
      <c r="H309" s="6" t="b">
        <f>SUMPRODUCT(--ISNUMBER(SEARCH(CategoriesConfig!B$3:B$12,$B309)))&gt;0</f>
        <v>0</v>
      </c>
      <c r="I309" s="6" t="b">
        <f>SUMPRODUCT(--ISNUMBER(SEARCH(CategoriesConfig!C$3:C$12,$B309)))&gt;0</f>
        <v>0</v>
      </c>
      <c r="J309" s="6" t="b">
        <f>SUMPRODUCT(--ISNUMBER(SEARCH(CategoriesConfig!D$3:D$12,$B309)))&gt;0</f>
        <v>0</v>
      </c>
      <c r="K309" s="6" t="b">
        <f>SUMPRODUCT(--ISNUMBER(SEARCH(CategoriesConfig!E$3:E$12,$B309)))&gt;0</f>
        <v>0</v>
      </c>
      <c r="L309" s="6" t="b">
        <f>SUMPRODUCT(--ISNUMBER(SEARCH(CategoriesConfig!F$3:F$12,$B309)))&gt;0</f>
        <v>1</v>
      </c>
      <c r="M309" s="6" t="b">
        <f>SUMPRODUCT(--ISNUMBER(SEARCH(CategoriesConfig!G$3:G$12,$B309)))&gt;0</f>
        <v>0</v>
      </c>
      <c r="N309" s="6" t="b">
        <f>SUMPRODUCT(--ISNUMBER(SEARCH(CategoriesConfig!H$3:H$12,$B309)))&gt;0</f>
        <v>0</v>
      </c>
      <c r="O309" s="6" t="b">
        <f>SUMPRODUCT(--ISNUMBER(SEARCH(CategoriesConfig!I$3:I$12,$B309)))&gt;0</f>
        <v>0</v>
      </c>
      <c r="P309" s="22" t="b">
        <f t="shared" si="16"/>
        <v>0</v>
      </c>
      <c r="Q309" s="22">
        <f t="shared" si="17"/>
        <v>8</v>
      </c>
      <c r="S309" s="6" t="str">
        <f t="shared" si="15"/>
        <v>F</v>
      </c>
    </row>
    <row r="310" spans="1:19" ht="13.5" thickBot="1" x14ac:dyDescent="0.25">
      <c r="A310" s="4">
        <f>DATEVALUE(DataIn!A330)</f>
        <v>42949</v>
      </c>
      <c r="B310" s="5" t="str">
        <f>DataIn!B330</f>
        <v>POS 512967XXXXXX4422 CAFE COFFEE DAY POS DEBIT</v>
      </c>
      <c r="C310" s="5" t="str">
        <f>DataIn!C330</f>
        <v>0000000000130486</v>
      </c>
      <c r="D310" s="5" t="str">
        <f>DataIn!D330</f>
        <v>02/08/17</v>
      </c>
      <c r="E310" s="5">
        <f>DataIn!E330</f>
        <v>130</v>
      </c>
      <c r="F310" s="5">
        <f>DataIn!F330</f>
        <v>0</v>
      </c>
      <c r="G310" s="5">
        <f>DataIn!G330</f>
        <v>97504.01</v>
      </c>
      <c r="H310" s="6" t="b">
        <f>SUMPRODUCT(--ISNUMBER(SEARCH(CategoriesConfig!B$3:B$12,$B310)))&gt;0</f>
        <v>0</v>
      </c>
      <c r="I310" s="6" t="b">
        <f>SUMPRODUCT(--ISNUMBER(SEARCH(CategoriesConfig!C$3:C$12,$B310)))&gt;0</f>
        <v>0</v>
      </c>
      <c r="J310" s="6" t="b">
        <f>SUMPRODUCT(--ISNUMBER(SEARCH(CategoriesConfig!D$3:D$12,$B310)))&gt;0</f>
        <v>0</v>
      </c>
      <c r="K310" s="6" t="b">
        <f>SUMPRODUCT(--ISNUMBER(SEARCH(CategoriesConfig!E$3:E$12,$B310)))&gt;0</f>
        <v>0</v>
      </c>
      <c r="L310" s="6" t="b">
        <f>SUMPRODUCT(--ISNUMBER(SEARCH(CategoriesConfig!F$3:F$12,$B310)))&gt;0</f>
        <v>1</v>
      </c>
      <c r="M310" s="6" t="b">
        <f>SUMPRODUCT(--ISNUMBER(SEARCH(CategoriesConfig!G$3:G$12,$B310)))&gt;0</f>
        <v>0</v>
      </c>
      <c r="N310" s="6" t="b">
        <f>SUMPRODUCT(--ISNUMBER(SEARCH(CategoriesConfig!H$3:H$12,$B310)))&gt;0</f>
        <v>0</v>
      </c>
      <c r="O310" s="6" t="b">
        <f>SUMPRODUCT(--ISNUMBER(SEARCH(CategoriesConfig!I$3:I$12,$B310)))&gt;0</f>
        <v>0</v>
      </c>
      <c r="P310" s="22" t="b">
        <f t="shared" si="16"/>
        <v>0</v>
      </c>
      <c r="Q310" s="22">
        <f t="shared" si="17"/>
        <v>8</v>
      </c>
      <c r="S310" s="6" t="str">
        <f t="shared" si="15"/>
        <v>F</v>
      </c>
    </row>
    <row r="311" spans="1:19" ht="13.5" thickBot="1" x14ac:dyDescent="0.25">
      <c r="A311" s="4">
        <f>DATEVALUE(DataIn!A331)</f>
        <v>42949</v>
      </c>
      <c r="B311" s="5" t="str">
        <f>DataIn!B331</f>
        <v>POS 512967XXXXXX4422 DRIBBLE INC POS DEBIT</v>
      </c>
      <c r="C311" s="5" t="str">
        <f>DataIn!C331</f>
        <v>0000000000000811</v>
      </c>
      <c r="D311" s="5" t="str">
        <f>DataIn!D331</f>
        <v>02/08/17</v>
      </c>
      <c r="E311" s="5">
        <f>DataIn!E331</f>
        <v>150</v>
      </c>
      <c r="F311" s="5">
        <f>DataIn!F331</f>
        <v>0</v>
      </c>
      <c r="G311" s="5">
        <f>DataIn!G331</f>
        <v>97354.01</v>
      </c>
      <c r="H311" s="6" t="b">
        <f>SUMPRODUCT(--ISNUMBER(SEARCH(CategoriesConfig!B$3:B$12,$B311)))&gt;0</f>
        <v>0</v>
      </c>
      <c r="I311" s="6" t="b">
        <f>SUMPRODUCT(--ISNUMBER(SEARCH(CategoriesConfig!C$3:C$12,$B311)))&gt;0</f>
        <v>0</v>
      </c>
      <c r="J311" s="6" t="b">
        <f>SUMPRODUCT(--ISNUMBER(SEARCH(CategoriesConfig!D$3:D$12,$B311)))&gt;0</f>
        <v>0</v>
      </c>
      <c r="K311" s="6" t="b">
        <f>SUMPRODUCT(--ISNUMBER(SEARCH(CategoriesConfig!E$3:E$12,$B311)))&gt;0</f>
        <v>0</v>
      </c>
      <c r="L311" s="6" t="b">
        <f>SUMPRODUCT(--ISNUMBER(SEARCH(CategoriesConfig!F$3:F$12,$B311)))&gt;0</f>
        <v>0</v>
      </c>
      <c r="M311" s="6" t="b">
        <f>SUMPRODUCT(--ISNUMBER(SEARCH(CategoriesConfig!G$3:G$12,$B311)))&gt;0</f>
        <v>1</v>
      </c>
      <c r="N311" s="6" t="b">
        <f>SUMPRODUCT(--ISNUMBER(SEARCH(CategoriesConfig!H$3:H$12,$B311)))&gt;0</f>
        <v>0</v>
      </c>
      <c r="O311" s="6" t="b">
        <f>SUMPRODUCT(--ISNUMBER(SEARCH(CategoriesConfig!I$3:I$12,$B311)))&gt;0</f>
        <v>0</v>
      </c>
      <c r="P311" s="22" t="b">
        <f t="shared" si="16"/>
        <v>0</v>
      </c>
      <c r="Q311" s="22">
        <f t="shared" si="17"/>
        <v>8</v>
      </c>
      <c r="S311" s="6" t="str">
        <f t="shared" si="15"/>
        <v>M</v>
      </c>
    </row>
    <row r="312" spans="1:19" ht="13.5" thickBot="1" x14ac:dyDescent="0.25">
      <c r="A312" s="4">
        <f>DATEVALUE(DataIn!A332)</f>
        <v>42949</v>
      </c>
      <c r="B312" s="5" t="str">
        <f>DataIn!B332</f>
        <v>POS 512967XXXXXX4422 ARBOR BREWPUB POS DEBIT</v>
      </c>
      <c r="C312" s="5" t="str">
        <f>DataIn!C332</f>
        <v>0000000000021002</v>
      </c>
      <c r="D312" s="5" t="str">
        <f>DataIn!D332</f>
        <v>02/08/17</v>
      </c>
      <c r="E312" s="5">
        <f>DataIn!E332</f>
        <v>1200</v>
      </c>
      <c r="F312" s="5">
        <f>DataIn!F332</f>
        <v>0</v>
      </c>
      <c r="G312" s="5">
        <f>DataIn!G332</f>
        <v>96154.01</v>
      </c>
      <c r="H312" s="6" t="b">
        <f>SUMPRODUCT(--ISNUMBER(SEARCH(CategoriesConfig!B$3:B$12,$B312)))&gt;0</f>
        <v>0</v>
      </c>
      <c r="I312" s="6" t="b">
        <f>SUMPRODUCT(--ISNUMBER(SEARCH(CategoriesConfig!C$3:C$12,$B312)))&gt;0</f>
        <v>0</v>
      </c>
      <c r="J312" s="6" t="b">
        <f>SUMPRODUCT(--ISNUMBER(SEARCH(CategoriesConfig!D$3:D$12,$B312)))&gt;0</f>
        <v>0</v>
      </c>
      <c r="K312" s="6" t="b">
        <f>SUMPRODUCT(--ISNUMBER(SEARCH(CategoriesConfig!E$3:E$12,$B312)))&gt;0</f>
        <v>0</v>
      </c>
      <c r="L312" s="6" t="b">
        <f>SUMPRODUCT(--ISNUMBER(SEARCH(CategoriesConfig!F$3:F$12,$B312)))&gt;0</f>
        <v>1</v>
      </c>
      <c r="M312" s="6" t="b">
        <f>SUMPRODUCT(--ISNUMBER(SEARCH(CategoriesConfig!G$3:G$12,$B312)))&gt;0</f>
        <v>0</v>
      </c>
      <c r="N312" s="6" t="b">
        <f>SUMPRODUCT(--ISNUMBER(SEARCH(CategoriesConfig!H$3:H$12,$B312)))&gt;0</f>
        <v>0</v>
      </c>
      <c r="O312" s="6" t="b">
        <f>SUMPRODUCT(--ISNUMBER(SEARCH(CategoriesConfig!I$3:I$12,$B312)))&gt;0</f>
        <v>0</v>
      </c>
      <c r="P312" s="22" t="b">
        <f t="shared" si="16"/>
        <v>0</v>
      </c>
      <c r="Q312" s="22">
        <f t="shared" si="17"/>
        <v>8</v>
      </c>
      <c r="S312" s="6" t="str">
        <f t="shared" si="15"/>
        <v>F</v>
      </c>
    </row>
    <row r="313" spans="1:19" ht="13.5" thickBot="1" x14ac:dyDescent="0.25">
      <c r="A313" s="4">
        <f>DATEVALUE(DataIn!A333)</f>
        <v>42950</v>
      </c>
      <c r="B313" s="5" t="str">
        <f>DataIn!B333</f>
        <v>POS 512967XXXXXX4422 ZES*UBER INDIA S POS DEBIT</v>
      </c>
      <c r="C313" s="5" t="str">
        <f>DataIn!C333</f>
        <v>0000721560053068</v>
      </c>
      <c r="D313" s="5" t="str">
        <f>DataIn!D333</f>
        <v>03/08/17</v>
      </c>
      <c r="E313" s="5">
        <f>DataIn!E333</f>
        <v>180.56</v>
      </c>
      <c r="F313" s="5">
        <f>DataIn!F333</f>
        <v>0</v>
      </c>
      <c r="G313" s="5">
        <f>DataIn!G333</f>
        <v>95973.45</v>
      </c>
      <c r="H313" s="6" t="b">
        <f>SUMPRODUCT(--ISNUMBER(SEARCH(CategoriesConfig!B$3:B$12,$B313)))&gt;0</f>
        <v>0</v>
      </c>
      <c r="I313" s="6" t="b">
        <f>SUMPRODUCT(--ISNUMBER(SEARCH(CategoriesConfig!C$3:C$12,$B313)))&gt;0</f>
        <v>1</v>
      </c>
      <c r="J313" s="6" t="b">
        <f>SUMPRODUCT(--ISNUMBER(SEARCH(CategoriesConfig!D$3:D$12,$B313)))&gt;0</f>
        <v>0</v>
      </c>
      <c r="K313" s="6" t="b">
        <f>SUMPRODUCT(--ISNUMBER(SEARCH(CategoriesConfig!E$3:E$12,$B313)))&gt;0</f>
        <v>0</v>
      </c>
      <c r="L313" s="6" t="b">
        <f>SUMPRODUCT(--ISNUMBER(SEARCH(CategoriesConfig!F$3:F$12,$B313)))&gt;0</f>
        <v>0</v>
      </c>
      <c r="M313" s="6" t="b">
        <f>SUMPRODUCT(--ISNUMBER(SEARCH(CategoriesConfig!G$3:G$12,$B313)))&gt;0</f>
        <v>0</v>
      </c>
      <c r="N313" s="6" t="b">
        <f>SUMPRODUCT(--ISNUMBER(SEARCH(CategoriesConfig!H$3:H$12,$B313)))&gt;0</f>
        <v>0</v>
      </c>
      <c r="O313" s="6" t="b">
        <f>SUMPRODUCT(--ISNUMBER(SEARCH(CategoriesConfig!I$3:I$12,$B313)))&gt;0</f>
        <v>0</v>
      </c>
      <c r="P313" s="22" t="b">
        <f t="shared" si="16"/>
        <v>0</v>
      </c>
      <c r="Q313" s="22">
        <f t="shared" si="17"/>
        <v>8</v>
      </c>
      <c r="S313" s="6" t="str">
        <f t="shared" si="15"/>
        <v>U</v>
      </c>
    </row>
    <row r="314" spans="1:19" ht="13.5" thickBot="1" x14ac:dyDescent="0.25">
      <c r="A314" s="4">
        <f>DATEVALUE(DataIn!A334)</f>
        <v>42950</v>
      </c>
      <c r="B314" s="5" t="str">
        <f>DataIn!B334</f>
        <v>POS 512967XXXXXX4422 ZES*UBER INDIA S POS DEBIT</v>
      </c>
      <c r="C314" s="5" t="str">
        <f>DataIn!C334</f>
        <v>0000721500030112</v>
      </c>
      <c r="D314" s="5" t="str">
        <f>DataIn!D334</f>
        <v>03/08/17</v>
      </c>
      <c r="E314" s="5">
        <f>DataIn!E334</f>
        <v>50.11</v>
      </c>
      <c r="F314" s="5">
        <f>DataIn!F334</f>
        <v>0</v>
      </c>
      <c r="G314" s="5">
        <f>DataIn!G334</f>
        <v>95923.34</v>
      </c>
      <c r="H314" s="6" t="b">
        <f>SUMPRODUCT(--ISNUMBER(SEARCH(CategoriesConfig!B$3:B$12,$B314)))&gt;0</f>
        <v>0</v>
      </c>
      <c r="I314" s="6" t="b">
        <f>SUMPRODUCT(--ISNUMBER(SEARCH(CategoriesConfig!C$3:C$12,$B314)))&gt;0</f>
        <v>1</v>
      </c>
      <c r="J314" s="6" t="b">
        <f>SUMPRODUCT(--ISNUMBER(SEARCH(CategoriesConfig!D$3:D$12,$B314)))&gt;0</f>
        <v>0</v>
      </c>
      <c r="K314" s="6" t="b">
        <f>SUMPRODUCT(--ISNUMBER(SEARCH(CategoriesConfig!E$3:E$12,$B314)))&gt;0</f>
        <v>0</v>
      </c>
      <c r="L314" s="6" t="b">
        <f>SUMPRODUCT(--ISNUMBER(SEARCH(CategoriesConfig!F$3:F$12,$B314)))&gt;0</f>
        <v>0</v>
      </c>
      <c r="M314" s="6" t="b">
        <f>SUMPRODUCT(--ISNUMBER(SEARCH(CategoriesConfig!G$3:G$12,$B314)))&gt;0</f>
        <v>0</v>
      </c>
      <c r="N314" s="6" t="b">
        <f>SUMPRODUCT(--ISNUMBER(SEARCH(CategoriesConfig!H$3:H$12,$B314)))&gt;0</f>
        <v>0</v>
      </c>
      <c r="O314" s="6" t="b">
        <f>SUMPRODUCT(--ISNUMBER(SEARCH(CategoriesConfig!I$3:I$12,$B314)))&gt;0</f>
        <v>0</v>
      </c>
      <c r="P314" s="22" t="b">
        <f t="shared" si="16"/>
        <v>0</v>
      </c>
      <c r="Q314" s="22">
        <f t="shared" si="17"/>
        <v>8</v>
      </c>
      <c r="S314" s="6" t="str">
        <f t="shared" si="15"/>
        <v>U</v>
      </c>
    </row>
    <row r="315" spans="1:19" ht="13.5" thickBot="1" x14ac:dyDescent="0.25">
      <c r="A315" s="4">
        <f>DATEVALUE(DataIn!A335)</f>
        <v>42950</v>
      </c>
      <c r="B315" s="5" t="str">
        <f>DataIn!B335</f>
        <v>POS 512967XXXXXX4422 CELEBRATIONS, POS DEBIT</v>
      </c>
      <c r="C315" s="5" t="str">
        <f>DataIn!C335</f>
        <v>0000000000023890</v>
      </c>
      <c r="D315" s="5" t="str">
        <f>DataIn!D335</f>
        <v>03/08/17</v>
      </c>
      <c r="E315" s="5">
        <f>DataIn!E335</f>
        <v>94</v>
      </c>
      <c r="F315" s="5">
        <f>DataIn!F335</f>
        <v>0</v>
      </c>
      <c r="G315" s="5">
        <f>DataIn!G335</f>
        <v>95829.34</v>
      </c>
      <c r="H315" s="6" t="b">
        <f>SUMPRODUCT(--ISNUMBER(SEARCH(CategoriesConfig!B$3:B$12,$B315)))&gt;0</f>
        <v>0</v>
      </c>
      <c r="I315" s="6" t="b">
        <f>SUMPRODUCT(--ISNUMBER(SEARCH(CategoriesConfig!C$3:C$12,$B315)))&gt;0</f>
        <v>0</v>
      </c>
      <c r="J315" s="6" t="b">
        <f>SUMPRODUCT(--ISNUMBER(SEARCH(CategoriesConfig!D$3:D$12,$B315)))&gt;0</f>
        <v>1</v>
      </c>
      <c r="K315" s="6" t="b">
        <f>SUMPRODUCT(--ISNUMBER(SEARCH(CategoriesConfig!E$3:E$12,$B315)))&gt;0</f>
        <v>0</v>
      </c>
      <c r="L315" s="6" t="b">
        <f>SUMPRODUCT(--ISNUMBER(SEARCH(CategoriesConfig!F$3:F$12,$B315)))&gt;0</f>
        <v>0</v>
      </c>
      <c r="M315" s="6" t="b">
        <f>SUMPRODUCT(--ISNUMBER(SEARCH(CategoriesConfig!G$3:G$12,$B315)))&gt;0</f>
        <v>0</v>
      </c>
      <c r="N315" s="6" t="b">
        <f>SUMPRODUCT(--ISNUMBER(SEARCH(CategoriesConfig!H$3:H$12,$B315)))&gt;0</f>
        <v>0</v>
      </c>
      <c r="O315" s="6" t="b">
        <f>SUMPRODUCT(--ISNUMBER(SEARCH(CategoriesConfig!I$3:I$12,$B315)))&gt;0</f>
        <v>0</v>
      </c>
      <c r="P315" s="22" t="b">
        <f t="shared" si="16"/>
        <v>0</v>
      </c>
      <c r="Q315" s="22">
        <f t="shared" si="17"/>
        <v>8</v>
      </c>
      <c r="S315" s="6" t="str">
        <f t="shared" si="15"/>
        <v>L</v>
      </c>
    </row>
    <row r="316" spans="1:19" ht="13.5" thickBot="1" x14ac:dyDescent="0.25">
      <c r="A316" s="4">
        <f>DATEVALUE(DataIn!A336)</f>
        <v>42950</v>
      </c>
      <c r="B316" s="5" t="str">
        <f>DataIn!B336</f>
        <v>POS 512967XXXXXX4422 PTM*PAYTM POS DEBIT</v>
      </c>
      <c r="C316" s="5" t="str">
        <f>DataIn!C336</f>
        <v>0000721500121330</v>
      </c>
      <c r="D316" s="5" t="str">
        <f>DataIn!D336</f>
        <v>03/08/17</v>
      </c>
      <c r="E316" s="5">
        <f>DataIn!E336</f>
        <v>348</v>
      </c>
      <c r="F316" s="5">
        <f>DataIn!F336</f>
        <v>0</v>
      </c>
      <c r="G316" s="5">
        <f>DataIn!G336</f>
        <v>95481.34</v>
      </c>
      <c r="H316" s="6" t="b">
        <f>SUMPRODUCT(--ISNUMBER(SEARCH(CategoriesConfig!B$3:B$12,$B316)))&gt;0</f>
        <v>0</v>
      </c>
      <c r="I316" s="6" t="b">
        <f>SUMPRODUCT(--ISNUMBER(SEARCH(CategoriesConfig!C$3:C$12,$B316)))&gt;0</f>
        <v>0</v>
      </c>
      <c r="J316" s="6" t="b">
        <f>SUMPRODUCT(--ISNUMBER(SEARCH(CategoriesConfig!D$3:D$12,$B316)))&gt;0</f>
        <v>0</v>
      </c>
      <c r="K316" s="6" t="b">
        <f>SUMPRODUCT(--ISNUMBER(SEARCH(CategoriesConfig!E$3:E$12,$B316)))&gt;0</f>
        <v>0</v>
      </c>
      <c r="L316" s="6" t="b">
        <f>SUMPRODUCT(--ISNUMBER(SEARCH(CategoriesConfig!F$3:F$12,$B316)))&gt;0</f>
        <v>0</v>
      </c>
      <c r="M316" s="6" t="b">
        <f>SUMPRODUCT(--ISNUMBER(SEARCH(CategoriesConfig!G$3:G$12,$B316)))&gt;0</f>
        <v>0</v>
      </c>
      <c r="N316" s="6" t="b">
        <f>SUMPRODUCT(--ISNUMBER(SEARCH(CategoriesConfig!H$3:H$12,$B316)))&gt;0</f>
        <v>0</v>
      </c>
      <c r="O316" s="6" t="b">
        <f>SUMPRODUCT(--ISNUMBER(SEARCH(CategoriesConfig!I$3:I$12,$B316)))&gt;0</f>
        <v>0</v>
      </c>
      <c r="P316" s="22" t="b">
        <f t="shared" si="16"/>
        <v>1</v>
      </c>
      <c r="Q316" s="22">
        <f t="shared" si="17"/>
        <v>8</v>
      </c>
      <c r="R316" t="s">
        <v>223</v>
      </c>
      <c r="S316" s="6" t="str">
        <f t="shared" si="15"/>
        <v>M</v>
      </c>
    </row>
    <row r="317" spans="1:19" ht="13.5" thickBot="1" x14ac:dyDescent="0.25">
      <c r="A317" s="4">
        <f>DATEVALUE(DataIn!A337)</f>
        <v>42950</v>
      </c>
      <c r="B317" s="5" t="str">
        <f>DataIn!B337</f>
        <v>EAW-512967XXXXXX4422-BLON1840-TEDM.G RD</v>
      </c>
      <c r="C317" s="5" t="str">
        <f>DataIn!C337</f>
        <v>0000721513252705</v>
      </c>
      <c r="D317" s="5" t="str">
        <f>DataIn!D337</f>
        <v>03/08/17</v>
      </c>
      <c r="E317" s="5">
        <f>DataIn!E337</f>
        <v>1000</v>
      </c>
      <c r="F317" s="5">
        <f>DataIn!F337</f>
        <v>0</v>
      </c>
      <c r="G317" s="5">
        <f>DataIn!G337</f>
        <v>94481.34</v>
      </c>
      <c r="H317" s="6" t="b">
        <f>SUMPRODUCT(--ISNUMBER(SEARCH(CategoriesConfig!B$3:B$12,$B317)))&gt;0</f>
        <v>0</v>
      </c>
      <c r="I317" s="6" t="b">
        <f>SUMPRODUCT(--ISNUMBER(SEARCH(CategoriesConfig!C$3:C$12,$B317)))&gt;0</f>
        <v>0</v>
      </c>
      <c r="J317" s="6" t="b">
        <f>SUMPRODUCT(--ISNUMBER(SEARCH(CategoriesConfig!D$3:D$12,$B317)))&gt;0</f>
        <v>0</v>
      </c>
      <c r="K317" s="6" t="b">
        <f>SUMPRODUCT(--ISNUMBER(SEARCH(CategoriesConfig!E$3:E$12,$B317)))&gt;0</f>
        <v>0</v>
      </c>
      <c r="L317" s="6" t="b">
        <f>SUMPRODUCT(--ISNUMBER(SEARCH(CategoriesConfig!F$3:F$12,$B317)))&gt;0</f>
        <v>0</v>
      </c>
      <c r="M317" s="6" t="b">
        <f>SUMPRODUCT(--ISNUMBER(SEARCH(CategoriesConfig!G$3:G$12,$B317)))&gt;0</f>
        <v>0</v>
      </c>
      <c r="N317" s="6" t="b">
        <f>SUMPRODUCT(--ISNUMBER(SEARCH(CategoriesConfig!H$3:H$12,$B317)))&gt;0</f>
        <v>1</v>
      </c>
      <c r="O317" s="6" t="b">
        <f>SUMPRODUCT(--ISNUMBER(SEARCH(CategoriesConfig!I$3:I$12,$B317)))&gt;0</f>
        <v>0</v>
      </c>
      <c r="P317" s="22" t="b">
        <f t="shared" si="16"/>
        <v>0</v>
      </c>
      <c r="Q317" s="22">
        <f t="shared" si="17"/>
        <v>8</v>
      </c>
      <c r="S317" s="6" t="str">
        <f t="shared" si="15"/>
        <v>C</v>
      </c>
    </row>
    <row r="318" spans="1:19" ht="13.5" thickBot="1" x14ac:dyDescent="0.25">
      <c r="A318" s="4">
        <f>DATEVALUE(DataIn!A338)</f>
        <v>42950</v>
      </c>
      <c r="B318" s="5" t="str">
        <f>DataIn!B338</f>
        <v>POS 512967XXXXXX4422 PAYTM MOBILE SOL POS DEBIT</v>
      </c>
      <c r="C318" s="5" t="str">
        <f>DataIn!C338</f>
        <v>0000000000283775</v>
      </c>
      <c r="D318" s="5" t="str">
        <f>DataIn!D338</f>
        <v>03/08/17</v>
      </c>
      <c r="E318" s="5">
        <f>DataIn!E338</f>
        <v>2915</v>
      </c>
      <c r="F318" s="5">
        <f>DataIn!F338</f>
        <v>0</v>
      </c>
      <c r="G318" s="5">
        <f>DataIn!G338</f>
        <v>91566.34</v>
      </c>
      <c r="H318" s="6" t="b">
        <f>SUMPRODUCT(--ISNUMBER(SEARCH(CategoriesConfig!B$3:B$12,$B318)))&gt;0</f>
        <v>0</v>
      </c>
      <c r="I318" s="6" t="b">
        <f>SUMPRODUCT(--ISNUMBER(SEARCH(CategoriesConfig!C$3:C$12,$B318)))&gt;0</f>
        <v>0</v>
      </c>
      <c r="J318" s="6" t="b">
        <f>SUMPRODUCT(--ISNUMBER(SEARCH(CategoriesConfig!D$3:D$12,$B318)))&gt;0</f>
        <v>0</v>
      </c>
      <c r="K318" s="6" t="b">
        <f>SUMPRODUCT(--ISNUMBER(SEARCH(CategoriesConfig!E$3:E$12,$B318)))&gt;0</f>
        <v>0</v>
      </c>
      <c r="L318" s="6" t="b">
        <f>SUMPRODUCT(--ISNUMBER(SEARCH(CategoriesConfig!F$3:F$12,$B318)))&gt;0</f>
        <v>0</v>
      </c>
      <c r="M318" s="6" t="b">
        <f>SUMPRODUCT(--ISNUMBER(SEARCH(CategoriesConfig!G$3:G$12,$B318)))&gt;0</f>
        <v>1</v>
      </c>
      <c r="N318" s="6" t="b">
        <f>SUMPRODUCT(--ISNUMBER(SEARCH(CategoriesConfig!H$3:H$12,$B318)))&gt;0</f>
        <v>0</v>
      </c>
      <c r="O318" s="6" t="b">
        <f>SUMPRODUCT(--ISNUMBER(SEARCH(CategoriesConfig!I$3:I$12,$B318)))&gt;0</f>
        <v>0</v>
      </c>
      <c r="P318" s="22" t="b">
        <f t="shared" si="16"/>
        <v>0</v>
      </c>
      <c r="Q318" s="22">
        <f t="shared" si="17"/>
        <v>8</v>
      </c>
      <c r="S318" s="6" t="str">
        <f t="shared" si="15"/>
        <v>M</v>
      </c>
    </row>
    <row r="319" spans="1:19" ht="13.5" thickBot="1" x14ac:dyDescent="0.25">
      <c r="A319" s="4">
        <f>DATEVALUE(DataIn!A339)</f>
        <v>42951</v>
      </c>
      <c r="B319" s="5" t="str">
        <f>DataIn!B339</f>
        <v>POS 512967XXXXXX4422 ZES*UBER INDIA S POS DEBIT</v>
      </c>
      <c r="C319" s="5" t="str">
        <f>DataIn!C339</f>
        <v>0000721600020325</v>
      </c>
      <c r="D319" s="5" t="str">
        <f>DataIn!D339</f>
        <v>04/08/17</v>
      </c>
      <c r="E319" s="5">
        <f>DataIn!E339</f>
        <v>161.97999999999999</v>
      </c>
      <c r="F319" s="5">
        <f>DataIn!F339</f>
        <v>0</v>
      </c>
      <c r="G319" s="5">
        <f>DataIn!G339</f>
        <v>91404.36</v>
      </c>
      <c r="H319" s="6" t="b">
        <f>SUMPRODUCT(--ISNUMBER(SEARCH(CategoriesConfig!B$3:B$12,$B319)))&gt;0</f>
        <v>0</v>
      </c>
      <c r="I319" s="6" t="b">
        <f>SUMPRODUCT(--ISNUMBER(SEARCH(CategoriesConfig!C$3:C$12,$B319)))&gt;0</f>
        <v>1</v>
      </c>
      <c r="J319" s="6" t="b">
        <f>SUMPRODUCT(--ISNUMBER(SEARCH(CategoriesConfig!D$3:D$12,$B319)))&gt;0</f>
        <v>0</v>
      </c>
      <c r="K319" s="6" t="b">
        <f>SUMPRODUCT(--ISNUMBER(SEARCH(CategoriesConfig!E$3:E$12,$B319)))&gt;0</f>
        <v>0</v>
      </c>
      <c r="L319" s="6" t="b">
        <f>SUMPRODUCT(--ISNUMBER(SEARCH(CategoriesConfig!F$3:F$12,$B319)))&gt;0</f>
        <v>0</v>
      </c>
      <c r="M319" s="6" t="b">
        <f>SUMPRODUCT(--ISNUMBER(SEARCH(CategoriesConfig!G$3:G$12,$B319)))&gt;0</f>
        <v>0</v>
      </c>
      <c r="N319" s="6" t="b">
        <f>SUMPRODUCT(--ISNUMBER(SEARCH(CategoriesConfig!H$3:H$12,$B319)))&gt;0</f>
        <v>0</v>
      </c>
      <c r="O319" s="6" t="b">
        <f>SUMPRODUCT(--ISNUMBER(SEARCH(CategoriesConfig!I$3:I$12,$B319)))&gt;0</f>
        <v>0</v>
      </c>
      <c r="P319" s="22" t="b">
        <f t="shared" si="16"/>
        <v>0</v>
      </c>
      <c r="Q319" s="22">
        <f t="shared" si="17"/>
        <v>8</v>
      </c>
      <c r="S319" s="6" t="str">
        <f t="shared" si="15"/>
        <v>U</v>
      </c>
    </row>
    <row r="320" spans="1:19" ht="13.5" thickBot="1" x14ac:dyDescent="0.25">
      <c r="A320" s="4">
        <f>DATEVALUE(DataIn!A340)</f>
        <v>42951</v>
      </c>
      <c r="B320" s="5" t="str">
        <f>DataIn!B340</f>
        <v>POS 512967XXXXXX4422 CELEBRATIONS, POS DEBIT</v>
      </c>
      <c r="C320" s="5" t="str">
        <f>DataIn!C340</f>
        <v>0000000000024169</v>
      </c>
      <c r="D320" s="5" t="str">
        <f>DataIn!D340</f>
        <v>04/08/17</v>
      </c>
      <c r="E320" s="5">
        <f>DataIn!E340</f>
        <v>94</v>
      </c>
      <c r="F320" s="5">
        <f>DataIn!F340</f>
        <v>0</v>
      </c>
      <c r="G320" s="5">
        <f>DataIn!G340</f>
        <v>91310.36</v>
      </c>
      <c r="H320" s="6" t="b">
        <f>SUMPRODUCT(--ISNUMBER(SEARCH(CategoriesConfig!B$3:B$12,$B320)))&gt;0</f>
        <v>0</v>
      </c>
      <c r="I320" s="6" t="b">
        <f>SUMPRODUCT(--ISNUMBER(SEARCH(CategoriesConfig!C$3:C$12,$B320)))&gt;0</f>
        <v>0</v>
      </c>
      <c r="J320" s="6" t="b">
        <f>SUMPRODUCT(--ISNUMBER(SEARCH(CategoriesConfig!D$3:D$12,$B320)))&gt;0</f>
        <v>1</v>
      </c>
      <c r="K320" s="6" t="b">
        <f>SUMPRODUCT(--ISNUMBER(SEARCH(CategoriesConfig!E$3:E$12,$B320)))&gt;0</f>
        <v>0</v>
      </c>
      <c r="L320" s="6" t="b">
        <f>SUMPRODUCT(--ISNUMBER(SEARCH(CategoriesConfig!F$3:F$12,$B320)))&gt;0</f>
        <v>0</v>
      </c>
      <c r="M320" s="6" t="b">
        <f>SUMPRODUCT(--ISNUMBER(SEARCH(CategoriesConfig!G$3:G$12,$B320)))&gt;0</f>
        <v>0</v>
      </c>
      <c r="N320" s="6" t="b">
        <f>SUMPRODUCT(--ISNUMBER(SEARCH(CategoriesConfig!H$3:H$12,$B320)))&gt;0</f>
        <v>0</v>
      </c>
      <c r="O320" s="6" t="b">
        <f>SUMPRODUCT(--ISNUMBER(SEARCH(CategoriesConfig!I$3:I$12,$B320)))&gt;0</f>
        <v>0</v>
      </c>
      <c r="P320" s="22" t="b">
        <f t="shared" si="16"/>
        <v>0</v>
      </c>
      <c r="Q320" s="22">
        <f t="shared" si="17"/>
        <v>8</v>
      </c>
      <c r="S320" s="6" t="str">
        <f t="shared" si="15"/>
        <v>L</v>
      </c>
    </row>
    <row r="321" spans="1:19" ht="13.5" thickBot="1" x14ac:dyDescent="0.25">
      <c r="A321" s="4">
        <f>DATEVALUE(DataIn!A341)</f>
        <v>42951</v>
      </c>
      <c r="B321" s="5" t="str">
        <f>DataIn!B341</f>
        <v>POS 512967XXXXXX4422 CAFE COFFEE DAY POS DEBIT</v>
      </c>
      <c r="C321" s="5" t="str">
        <f>DataIn!C341</f>
        <v>0000000000150506</v>
      </c>
      <c r="D321" s="5" t="str">
        <f>DataIn!D341</f>
        <v>04/08/17</v>
      </c>
      <c r="E321" s="5">
        <f>DataIn!E341</f>
        <v>130</v>
      </c>
      <c r="F321" s="5">
        <f>DataIn!F341</f>
        <v>0</v>
      </c>
      <c r="G321" s="5">
        <f>DataIn!G341</f>
        <v>91180.36</v>
      </c>
      <c r="H321" s="6" t="b">
        <f>SUMPRODUCT(--ISNUMBER(SEARCH(CategoriesConfig!B$3:B$12,$B321)))&gt;0</f>
        <v>0</v>
      </c>
      <c r="I321" s="6" t="b">
        <f>SUMPRODUCT(--ISNUMBER(SEARCH(CategoriesConfig!C$3:C$12,$B321)))&gt;0</f>
        <v>0</v>
      </c>
      <c r="J321" s="6" t="b">
        <f>SUMPRODUCT(--ISNUMBER(SEARCH(CategoriesConfig!D$3:D$12,$B321)))&gt;0</f>
        <v>0</v>
      </c>
      <c r="K321" s="6" t="b">
        <f>SUMPRODUCT(--ISNUMBER(SEARCH(CategoriesConfig!E$3:E$12,$B321)))&gt;0</f>
        <v>0</v>
      </c>
      <c r="L321" s="6" t="b">
        <f>SUMPRODUCT(--ISNUMBER(SEARCH(CategoriesConfig!F$3:F$12,$B321)))&gt;0</f>
        <v>1</v>
      </c>
      <c r="M321" s="6" t="b">
        <f>SUMPRODUCT(--ISNUMBER(SEARCH(CategoriesConfig!G$3:G$12,$B321)))&gt;0</f>
        <v>0</v>
      </c>
      <c r="N321" s="6" t="b">
        <f>SUMPRODUCT(--ISNUMBER(SEARCH(CategoriesConfig!H$3:H$12,$B321)))&gt;0</f>
        <v>0</v>
      </c>
      <c r="O321" s="6" t="b">
        <f>SUMPRODUCT(--ISNUMBER(SEARCH(CategoriesConfig!I$3:I$12,$B321)))&gt;0</f>
        <v>0</v>
      </c>
      <c r="P321" s="22" t="b">
        <f t="shared" si="16"/>
        <v>0</v>
      </c>
      <c r="Q321" s="22">
        <f t="shared" si="17"/>
        <v>8</v>
      </c>
      <c r="S321" s="6" t="str">
        <f t="shared" si="15"/>
        <v>F</v>
      </c>
    </row>
    <row r="322" spans="1:19" ht="13.5" thickBot="1" x14ac:dyDescent="0.25">
      <c r="A322" s="4">
        <f>DATEVALUE(DataIn!A342)</f>
        <v>42951</v>
      </c>
      <c r="B322" s="5" t="str">
        <f>DataIn!B342</f>
        <v>POS 512967XXXXXX4422 ZES*UBER INDIA S POS DEBIT</v>
      </c>
      <c r="C322" s="5" t="str">
        <f>DataIn!C342</f>
        <v>0000721600132096</v>
      </c>
      <c r="D322" s="5" t="str">
        <f>DataIn!D342</f>
        <v>04/08/17</v>
      </c>
      <c r="E322" s="5">
        <f>DataIn!E342</f>
        <v>106.15</v>
      </c>
      <c r="F322" s="5">
        <f>DataIn!F342</f>
        <v>0</v>
      </c>
      <c r="G322" s="5">
        <f>DataIn!G342</f>
        <v>91074.21</v>
      </c>
      <c r="H322" s="6" t="b">
        <f>SUMPRODUCT(--ISNUMBER(SEARCH(CategoriesConfig!B$3:B$12,$B322)))&gt;0</f>
        <v>0</v>
      </c>
      <c r="I322" s="6" t="b">
        <f>SUMPRODUCT(--ISNUMBER(SEARCH(CategoriesConfig!C$3:C$12,$B322)))&gt;0</f>
        <v>1</v>
      </c>
      <c r="J322" s="6" t="b">
        <f>SUMPRODUCT(--ISNUMBER(SEARCH(CategoriesConfig!D$3:D$12,$B322)))&gt;0</f>
        <v>0</v>
      </c>
      <c r="K322" s="6" t="b">
        <f>SUMPRODUCT(--ISNUMBER(SEARCH(CategoriesConfig!E$3:E$12,$B322)))&gt;0</f>
        <v>0</v>
      </c>
      <c r="L322" s="6" t="b">
        <f>SUMPRODUCT(--ISNUMBER(SEARCH(CategoriesConfig!F$3:F$12,$B322)))&gt;0</f>
        <v>0</v>
      </c>
      <c r="M322" s="6" t="b">
        <f>SUMPRODUCT(--ISNUMBER(SEARCH(CategoriesConfig!G$3:G$12,$B322)))&gt;0</f>
        <v>0</v>
      </c>
      <c r="N322" s="6" t="b">
        <f>SUMPRODUCT(--ISNUMBER(SEARCH(CategoriesConfig!H$3:H$12,$B322)))&gt;0</f>
        <v>0</v>
      </c>
      <c r="O322" s="6" t="b">
        <f>SUMPRODUCT(--ISNUMBER(SEARCH(CategoriesConfig!I$3:I$12,$B322)))&gt;0</f>
        <v>0</v>
      </c>
      <c r="P322" s="22" t="b">
        <f t="shared" si="16"/>
        <v>0</v>
      </c>
      <c r="Q322" s="22">
        <f t="shared" si="17"/>
        <v>8</v>
      </c>
      <c r="S322" s="6" t="str">
        <f t="shared" si="15"/>
        <v>U</v>
      </c>
    </row>
    <row r="323" spans="1:19" ht="13.5" thickBot="1" x14ac:dyDescent="0.25">
      <c r="A323" s="4">
        <f>DATEVALUE(DataIn!A343)</f>
        <v>42951</v>
      </c>
      <c r="B323" s="5" t="str">
        <f>DataIn!B343</f>
        <v>NWD-512967XXXXXX4422-A0414001-BANGALORE I</v>
      </c>
      <c r="C323" s="5" t="str">
        <f>DataIn!C343</f>
        <v>0000721600976859</v>
      </c>
      <c r="D323" s="5" t="str">
        <f>DataIn!D343</f>
        <v>04/08/17</v>
      </c>
      <c r="E323" s="5">
        <f>DataIn!E343</f>
        <v>2000</v>
      </c>
      <c r="F323" s="5">
        <f>DataIn!F343</f>
        <v>0</v>
      </c>
      <c r="G323" s="5">
        <f>DataIn!G343</f>
        <v>89074.21</v>
      </c>
      <c r="H323" s="6" t="b">
        <f>SUMPRODUCT(--ISNUMBER(SEARCH(CategoriesConfig!B$3:B$12,$B323)))&gt;0</f>
        <v>0</v>
      </c>
      <c r="I323" s="6" t="b">
        <f>SUMPRODUCT(--ISNUMBER(SEARCH(CategoriesConfig!C$3:C$12,$B323)))&gt;0</f>
        <v>0</v>
      </c>
      <c r="J323" s="6" t="b">
        <f>SUMPRODUCT(--ISNUMBER(SEARCH(CategoriesConfig!D$3:D$12,$B323)))&gt;0</f>
        <v>0</v>
      </c>
      <c r="K323" s="6" t="b">
        <f>SUMPRODUCT(--ISNUMBER(SEARCH(CategoriesConfig!E$3:E$12,$B323)))&gt;0</f>
        <v>0</v>
      </c>
      <c r="L323" s="6" t="b">
        <f>SUMPRODUCT(--ISNUMBER(SEARCH(CategoriesConfig!F$3:F$12,$B323)))&gt;0</f>
        <v>0</v>
      </c>
      <c r="M323" s="6" t="b">
        <f>SUMPRODUCT(--ISNUMBER(SEARCH(CategoriesConfig!G$3:G$12,$B323)))&gt;0</f>
        <v>0</v>
      </c>
      <c r="N323" s="6" t="b">
        <f>SUMPRODUCT(--ISNUMBER(SEARCH(CategoriesConfig!H$3:H$12,$B323)))&gt;0</f>
        <v>1</v>
      </c>
      <c r="O323" s="6" t="b">
        <f>SUMPRODUCT(--ISNUMBER(SEARCH(CategoriesConfig!I$3:I$12,$B323)))&gt;0</f>
        <v>0</v>
      </c>
      <c r="P323" s="22" t="b">
        <f t="shared" si="16"/>
        <v>0</v>
      </c>
      <c r="Q323" s="22">
        <f t="shared" si="17"/>
        <v>8</v>
      </c>
      <c r="S323" s="6" t="str">
        <f t="shared" ref="S323:S351" si="18">IF(ISBLANK(R323),INDEX(H$2:P$917,1,SUMIF(H323:P323,"TRUE",H$1:P$1)),R323)</f>
        <v>C</v>
      </c>
    </row>
    <row r="324" spans="1:19" ht="13.5" thickBot="1" x14ac:dyDescent="0.25">
      <c r="A324" s="4">
        <f>DATEVALUE(DataIn!A344)</f>
        <v>42951</v>
      </c>
      <c r="B324" s="5" t="str">
        <f>DataIn!B344</f>
        <v>POS 512967XXXXXX4422 MUNI WINES POS DEBIT</v>
      </c>
      <c r="C324" s="5" t="str">
        <f>DataIn!C344</f>
        <v>0000000000047135</v>
      </c>
      <c r="D324" s="5" t="str">
        <f>DataIn!D344</f>
        <v>04/08/17</v>
      </c>
      <c r="E324" s="5">
        <f>DataIn!E344</f>
        <v>1050</v>
      </c>
      <c r="F324" s="5">
        <f>DataIn!F344</f>
        <v>0</v>
      </c>
      <c r="G324" s="5">
        <f>DataIn!G344</f>
        <v>88024.21</v>
      </c>
      <c r="H324" s="6" t="b">
        <f>SUMPRODUCT(--ISNUMBER(SEARCH(CategoriesConfig!B$3:B$12,$B324)))&gt;0</f>
        <v>0</v>
      </c>
      <c r="I324" s="6" t="b">
        <f>SUMPRODUCT(--ISNUMBER(SEARCH(CategoriesConfig!C$3:C$12,$B324)))&gt;0</f>
        <v>0</v>
      </c>
      <c r="J324" s="6" t="b">
        <f>SUMPRODUCT(--ISNUMBER(SEARCH(CategoriesConfig!D$3:D$12,$B324)))&gt;0</f>
        <v>0</v>
      </c>
      <c r="K324" s="6" t="b">
        <f>SUMPRODUCT(--ISNUMBER(SEARCH(CategoriesConfig!E$3:E$12,$B324)))&gt;0</f>
        <v>0</v>
      </c>
      <c r="L324" s="6" t="b">
        <f>SUMPRODUCT(--ISNUMBER(SEARCH(CategoriesConfig!F$3:F$12,$B324)))&gt;0</f>
        <v>1</v>
      </c>
      <c r="M324" s="6" t="b">
        <f>SUMPRODUCT(--ISNUMBER(SEARCH(CategoriesConfig!G$3:G$12,$B324)))&gt;0</f>
        <v>0</v>
      </c>
      <c r="N324" s="6" t="b">
        <f>SUMPRODUCT(--ISNUMBER(SEARCH(CategoriesConfig!H$3:H$12,$B324)))&gt;0</f>
        <v>0</v>
      </c>
      <c r="O324" s="6" t="b">
        <f>SUMPRODUCT(--ISNUMBER(SEARCH(CategoriesConfig!I$3:I$12,$B324)))&gt;0</f>
        <v>0</v>
      </c>
      <c r="P324" s="22" t="b">
        <f t="shared" si="16"/>
        <v>0</v>
      </c>
      <c r="Q324" s="22">
        <f t="shared" si="17"/>
        <v>8</v>
      </c>
      <c r="S324" s="6" t="str">
        <f t="shared" si="18"/>
        <v>F</v>
      </c>
    </row>
    <row r="325" spans="1:19" ht="13.5" thickBot="1" x14ac:dyDescent="0.25">
      <c r="A325" s="4">
        <f>DATEVALUE(DataIn!A345)</f>
        <v>42951</v>
      </c>
      <c r="B325" s="5" t="str">
        <f>DataIn!B345</f>
        <v>POS 512967XXXXXX4422 ZES*UBER INDIA S POS DEBIT</v>
      </c>
      <c r="C325" s="5" t="str">
        <f>DataIn!C345</f>
        <v>0000721600192600</v>
      </c>
      <c r="D325" s="5" t="str">
        <f>DataIn!D345</f>
        <v>04/08/17</v>
      </c>
      <c r="E325" s="5">
        <f>DataIn!E345</f>
        <v>166.43</v>
      </c>
      <c r="F325" s="5">
        <f>DataIn!F345</f>
        <v>0</v>
      </c>
      <c r="G325" s="5">
        <f>DataIn!G345</f>
        <v>87857.78</v>
      </c>
      <c r="H325" s="6" t="b">
        <f>SUMPRODUCT(--ISNUMBER(SEARCH(CategoriesConfig!B$3:B$12,$B325)))&gt;0</f>
        <v>0</v>
      </c>
      <c r="I325" s="6" t="b">
        <f>SUMPRODUCT(--ISNUMBER(SEARCH(CategoriesConfig!C$3:C$12,$B325)))&gt;0</f>
        <v>1</v>
      </c>
      <c r="J325" s="6" t="b">
        <f>SUMPRODUCT(--ISNUMBER(SEARCH(CategoriesConfig!D$3:D$12,$B325)))&gt;0</f>
        <v>0</v>
      </c>
      <c r="K325" s="6" t="b">
        <f>SUMPRODUCT(--ISNUMBER(SEARCH(CategoriesConfig!E$3:E$12,$B325)))&gt;0</f>
        <v>0</v>
      </c>
      <c r="L325" s="6" t="b">
        <f>SUMPRODUCT(--ISNUMBER(SEARCH(CategoriesConfig!F$3:F$12,$B325)))&gt;0</f>
        <v>0</v>
      </c>
      <c r="M325" s="6" t="b">
        <f>SUMPRODUCT(--ISNUMBER(SEARCH(CategoriesConfig!G$3:G$12,$B325)))&gt;0</f>
        <v>0</v>
      </c>
      <c r="N325" s="6" t="b">
        <f>SUMPRODUCT(--ISNUMBER(SEARCH(CategoriesConfig!H$3:H$12,$B325)))&gt;0</f>
        <v>0</v>
      </c>
      <c r="O325" s="6" t="b">
        <f>SUMPRODUCT(--ISNUMBER(SEARCH(CategoriesConfig!I$3:I$12,$B325)))&gt;0</f>
        <v>0</v>
      </c>
      <c r="P325" s="22" t="b">
        <f t="shared" si="16"/>
        <v>0</v>
      </c>
      <c r="Q325" s="22">
        <f t="shared" si="17"/>
        <v>8</v>
      </c>
      <c r="S325" s="6" t="str">
        <f t="shared" si="18"/>
        <v>U</v>
      </c>
    </row>
    <row r="326" spans="1:19" ht="13.5" thickBot="1" x14ac:dyDescent="0.25">
      <c r="A326" s="4">
        <f>DATEVALUE(DataIn!A346)</f>
        <v>42952</v>
      </c>
      <c r="B326" s="5" t="str">
        <f>DataIn!B346</f>
        <v>POS 512967XXXXXX4422 ZES*UBER INDIA S POS DEBIT</v>
      </c>
      <c r="C326" s="5" t="str">
        <f>DataIn!C346</f>
        <v>0000721760003447</v>
      </c>
      <c r="D326" s="5" t="str">
        <f>DataIn!D346</f>
        <v>05/08/17</v>
      </c>
      <c r="E326" s="5">
        <f>DataIn!E346</f>
        <v>111.95</v>
      </c>
      <c r="F326" s="5">
        <f>DataIn!F346</f>
        <v>0</v>
      </c>
      <c r="G326" s="5">
        <f>DataIn!G346</f>
        <v>87745.83</v>
      </c>
      <c r="H326" s="6" t="b">
        <f>SUMPRODUCT(--ISNUMBER(SEARCH(CategoriesConfig!B$3:B$12,$B326)))&gt;0</f>
        <v>0</v>
      </c>
      <c r="I326" s="6" t="b">
        <f>SUMPRODUCT(--ISNUMBER(SEARCH(CategoriesConfig!C$3:C$12,$B326)))&gt;0</f>
        <v>1</v>
      </c>
      <c r="J326" s="6" t="b">
        <f>SUMPRODUCT(--ISNUMBER(SEARCH(CategoriesConfig!D$3:D$12,$B326)))&gt;0</f>
        <v>0</v>
      </c>
      <c r="K326" s="6" t="b">
        <f>SUMPRODUCT(--ISNUMBER(SEARCH(CategoriesConfig!E$3:E$12,$B326)))&gt;0</f>
        <v>0</v>
      </c>
      <c r="L326" s="6" t="b">
        <f>SUMPRODUCT(--ISNUMBER(SEARCH(CategoriesConfig!F$3:F$12,$B326)))&gt;0</f>
        <v>0</v>
      </c>
      <c r="M326" s="6" t="b">
        <f>SUMPRODUCT(--ISNUMBER(SEARCH(CategoriesConfig!G$3:G$12,$B326)))&gt;0</f>
        <v>0</v>
      </c>
      <c r="N326" s="6" t="b">
        <f>SUMPRODUCT(--ISNUMBER(SEARCH(CategoriesConfig!H$3:H$12,$B326)))&gt;0</f>
        <v>0</v>
      </c>
      <c r="O326" s="6" t="b">
        <f>SUMPRODUCT(--ISNUMBER(SEARCH(CategoriesConfig!I$3:I$12,$B326)))&gt;0</f>
        <v>0</v>
      </c>
      <c r="P326" s="22" t="b">
        <f t="shared" si="16"/>
        <v>0</v>
      </c>
      <c r="Q326" s="22">
        <f t="shared" si="17"/>
        <v>8</v>
      </c>
      <c r="S326" s="6" t="str">
        <f t="shared" si="18"/>
        <v>U</v>
      </c>
    </row>
    <row r="327" spans="1:19" ht="13.5" thickBot="1" x14ac:dyDescent="0.25">
      <c r="A327" s="4">
        <f>DATEVALUE(DataIn!A347)</f>
        <v>42952</v>
      </c>
      <c r="B327" s="5" t="str">
        <f>DataIn!B347</f>
        <v>NWD-512967XXXXXX4422-DA150009-BANGALORE</v>
      </c>
      <c r="C327" s="5" t="str">
        <f>DataIn!C347</f>
        <v>0000721601498825</v>
      </c>
      <c r="D327" s="5" t="str">
        <f>DataIn!D347</f>
        <v>05/08/17</v>
      </c>
      <c r="E327" s="5">
        <f>DataIn!E347</f>
        <v>2000</v>
      </c>
      <c r="F327" s="5">
        <f>DataIn!F347</f>
        <v>0</v>
      </c>
      <c r="G327" s="5">
        <f>DataIn!G347</f>
        <v>85745.83</v>
      </c>
      <c r="H327" s="6" t="b">
        <f>SUMPRODUCT(--ISNUMBER(SEARCH(CategoriesConfig!B$3:B$12,$B327)))&gt;0</f>
        <v>0</v>
      </c>
      <c r="I327" s="6" t="b">
        <f>SUMPRODUCT(--ISNUMBER(SEARCH(CategoriesConfig!C$3:C$12,$B327)))&gt;0</f>
        <v>0</v>
      </c>
      <c r="J327" s="6" t="b">
        <f>SUMPRODUCT(--ISNUMBER(SEARCH(CategoriesConfig!D$3:D$12,$B327)))&gt;0</f>
        <v>0</v>
      </c>
      <c r="K327" s="6" t="b">
        <f>SUMPRODUCT(--ISNUMBER(SEARCH(CategoriesConfig!E$3:E$12,$B327)))&gt;0</f>
        <v>0</v>
      </c>
      <c r="L327" s="6" t="b">
        <f>SUMPRODUCT(--ISNUMBER(SEARCH(CategoriesConfig!F$3:F$12,$B327)))&gt;0</f>
        <v>0</v>
      </c>
      <c r="M327" s="6" t="b">
        <f>SUMPRODUCT(--ISNUMBER(SEARCH(CategoriesConfig!G$3:G$12,$B327)))&gt;0</f>
        <v>0</v>
      </c>
      <c r="N327" s="6" t="b">
        <f>SUMPRODUCT(--ISNUMBER(SEARCH(CategoriesConfig!H$3:H$12,$B327)))&gt;0</f>
        <v>1</v>
      </c>
      <c r="O327" s="6" t="b">
        <f>SUMPRODUCT(--ISNUMBER(SEARCH(CategoriesConfig!I$3:I$12,$B327)))&gt;0</f>
        <v>0</v>
      </c>
      <c r="P327" s="22" t="b">
        <f t="shared" si="16"/>
        <v>0</v>
      </c>
      <c r="Q327" s="22">
        <f t="shared" si="17"/>
        <v>8</v>
      </c>
      <c r="S327" s="6" t="str">
        <f t="shared" si="18"/>
        <v>C</v>
      </c>
    </row>
    <row r="328" spans="1:19" ht="13.5" thickBot="1" x14ac:dyDescent="0.25">
      <c r="A328" s="4">
        <f>DATEVALUE(DataIn!A348)</f>
        <v>42952</v>
      </c>
      <c r="B328" s="5" t="str">
        <f>DataIn!B348</f>
        <v>POS 512967XXXXXX4422 CAFE COFFEE DAY POS DEBIT</v>
      </c>
      <c r="C328" s="5" t="str">
        <f>DataIn!C348</f>
        <v>0000000000290124</v>
      </c>
      <c r="D328" s="5" t="str">
        <f>DataIn!D348</f>
        <v>05/08/17</v>
      </c>
      <c r="E328" s="5">
        <f>DataIn!E348</f>
        <v>195</v>
      </c>
      <c r="F328" s="5">
        <f>DataIn!F348</f>
        <v>0</v>
      </c>
      <c r="G328" s="5">
        <f>DataIn!G348</f>
        <v>85550.83</v>
      </c>
      <c r="H328" s="6" t="b">
        <f>SUMPRODUCT(--ISNUMBER(SEARCH(CategoriesConfig!B$3:B$12,$B328)))&gt;0</f>
        <v>0</v>
      </c>
      <c r="I328" s="6" t="b">
        <f>SUMPRODUCT(--ISNUMBER(SEARCH(CategoriesConfig!C$3:C$12,$B328)))&gt;0</f>
        <v>0</v>
      </c>
      <c r="J328" s="6" t="b">
        <f>SUMPRODUCT(--ISNUMBER(SEARCH(CategoriesConfig!D$3:D$12,$B328)))&gt;0</f>
        <v>0</v>
      </c>
      <c r="K328" s="6" t="b">
        <f>SUMPRODUCT(--ISNUMBER(SEARCH(CategoriesConfig!E$3:E$12,$B328)))&gt;0</f>
        <v>0</v>
      </c>
      <c r="L328" s="6" t="b">
        <f>SUMPRODUCT(--ISNUMBER(SEARCH(CategoriesConfig!F$3:F$12,$B328)))&gt;0</f>
        <v>1</v>
      </c>
      <c r="M328" s="6" t="b">
        <f>SUMPRODUCT(--ISNUMBER(SEARCH(CategoriesConfig!G$3:G$12,$B328)))&gt;0</f>
        <v>0</v>
      </c>
      <c r="N328" s="6" t="b">
        <f>SUMPRODUCT(--ISNUMBER(SEARCH(CategoriesConfig!H$3:H$12,$B328)))&gt;0</f>
        <v>0</v>
      </c>
      <c r="O328" s="6" t="b">
        <f>SUMPRODUCT(--ISNUMBER(SEARCH(CategoriesConfig!I$3:I$12,$B328)))&gt;0</f>
        <v>0</v>
      </c>
      <c r="P328" s="22" t="b">
        <f t="shared" si="16"/>
        <v>0</v>
      </c>
      <c r="Q328" s="22">
        <f t="shared" si="17"/>
        <v>8</v>
      </c>
      <c r="S328" s="6" t="str">
        <f t="shared" si="18"/>
        <v>F</v>
      </c>
    </row>
    <row r="329" spans="1:19" ht="13.5" thickBot="1" x14ac:dyDescent="0.25">
      <c r="A329" s="4">
        <f>DATEVALUE(DataIn!A349)</f>
        <v>42952</v>
      </c>
      <c r="B329" s="5" t="str">
        <f>DataIn!B349</f>
        <v>POS 512967XXXXXX4422 IRCTC_PAYTM POS DEBIT</v>
      </c>
      <c r="C329" s="5" t="str">
        <f>DataIn!C349</f>
        <v>0000000000462174</v>
      </c>
      <c r="D329" s="5" t="str">
        <f>DataIn!D349</f>
        <v>05/08/17</v>
      </c>
      <c r="E329" s="5">
        <f>DataIn!E349</f>
        <v>2205.88</v>
      </c>
      <c r="F329" s="5">
        <f>DataIn!F349</f>
        <v>0</v>
      </c>
      <c r="G329" s="5">
        <f>DataIn!G349</f>
        <v>83344.95</v>
      </c>
      <c r="H329" s="6" t="b">
        <f>SUMPRODUCT(--ISNUMBER(SEARCH(CategoriesConfig!B$3:B$12,$B329)))&gt;0</f>
        <v>0</v>
      </c>
      <c r="I329" s="6" t="b">
        <f>SUMPRODUCT(--ISNUMBER(SEARCH(CategoriesConfig!C$3:C$12,$B329)))&gt;0</f>
        <v>0</v>
      </c>
      <c r="J329" s="6" t="b">
        <f>SUMPRODUCT(--ISNUMBER(SEARCH(CategoriesConfig!D$3:D$12,$B329)))&gt;0</f>
        <v>0</v>
      </c>
      <c r="K329" s="6" t="b">
        <f>SUMPRODUCT(--ISNUMBER(SEARCH(CategoriesConfig!E$3:E$12,$B329)))&gt;0</f>
        <v>0</v>
      </c>
      <c r="L329" s="6" t="b">
        <f>SUMPRODUCT(--ISNUMBER(SEARCH(CategoriesConfig!F$3:F$12,$B329)))&gt;0</f>
        <v>0</v>
      </c>
      <c r="M329" s="6" t="b">
        <f>SUMPRODUCT(--ISNUMBER(SEARCH(CategoriesConfig!G$3:G$12,$B329)))&gt;0</f>
        <v>0</v>
      </c>
      <c r="N329" s="6" t="b">
        <f>SUMPRODUCT(--ISNUMBER(SEARCH(CategoriesConfig!H$3:H$12,$B329)))&gt;0</f>
        <v>0</v>
      </c>
      <c r="O329" s="6" t="b">
        <f>SUMPRODUCT(--ISNUMBER(SEARCH(CategoriesConfig!I$3:I$12,$B329)))&gt;0</f>
        <v>0</v>
      </c>
      <c r="P329" s="22" t="b">
        <f t="shared" si="16"/>
        <v>1</v>
      </c>
      <c r="Q329" s="22">
        <f t="shared" si="17"/>
        <v>8</v>
      </c>
      <c r="R329" t="s">
        <v>222</v>
      </c>
      <c r="S329" s="6" t="str">
        <f t="shared" si="18"/>
        <v>T</v>
      </c>
    </row>
    <row r="330" spans="1:19" ht="13.5" thickBot="1" x14ac:dyDescent="0.25">
      <c r="A330" s="4">
        <f>DATEVALUE(DataIn!A350)</f>
        <v>42952</v>
      </c>
      <c r="B330" s="5" t="str">
        <f>DataIn!B350</f>
        <v>POS 512967XXXXXX4422 PAYTM POS DEBIT</v>
      </c>
      <c r="C330" s="5" t="str">
        <f>DataIn!C350</f>
        <v>0000000000476578</v>
      </c>
      <c r="D330" s="5" t="str">
        <f>DataIn!D350</f>
        <v>05/08/17</v>
      </c>
      <c r="E330" s="5">
        <f>DataIn!E350</f>
        <v>100</v>
      </c>
      <c r="F330" s="5">
        <f>DataIn!F350</f>
        <v>0</v>
      </c>
      <c r="G330" s="5">
        <f>DataIn!G350</f>
        <v>83244.95</v>
      </c>
      <c r="H330" s="6" t="b">
        <f>SUMPRODUCT(--ISNUMBER(SEARCH(CategoriesConfig!B$3:B$12,$B330)))&gt;0</f>
        <v>0</v>
      </c>
      <c r="I330" s="6" t="b">
        <f>SUMPRODUCT(--ISNUMBER(SEARCH(CategoriesConfig!C$3:C$12,$B330)))&gt;0</f>
        <v>0</v>
      </c>
      <c r="J330" s="6" t="b">
        <f>SUMPRODUCT(--ISNUMBER(SEARCH(CategoriesConfig!D$3:D$12,$B330)))&gt;0</f>
        <v>0</v>
      </c>
      <c r="K330" s="6" t="b">
        <f>SUMPRODUCT(--ISNUMBER(SEARCH(CategoriesConfig!E$3:E$12,$B330)))&gt;0</f>
        <v>0</v>
      </c>
      <c r="L330" s="6" t="b">
        <f>SUMPRODUCT(--ISNUMBER(SEARCH(CategoriesConfig!F$3:F$12,$B330)))&gt;0</f>
        <v>0</v>
      </c>
      <c r="M330" s="6" t="b">
        <f>SUMPRODUCT(--ISNUMBER(SEARCH(CategoriesConfig!G$3:G$12,$B330)))&gt;0</f>
        <v>0</v>
      </c>
      <c r="N330" s="6" t="b">
        <f>SUMPRODUCT(--ISNUMBER(SEARCH(CategoriesConfig!H$3:H$12,$B330)))&gt;0</f>
        <v>0</v>
      </c>
      <c r="O330" s="6" t="b">
        <f>SUMPRODUCT(--ISNUMBER(SEARCH(CategoriesConfig!I$3:I$12,$B330)))&gt;0</f>
        <v>0</v>
      </c>
      <c r="P330" s="22" t="b">
        <f t="shared" si="16"/>
        <v>1</v>
      </c>
      <c r="Q330" s="22">
        <f t="shared" si="17"/>
        <v>8</v>
      </c>
      <c r="R330" t="s">
        <v>222</v>
      </c>
      <c r="S330" s="6" t="str">
        <f t="shared" si="18"/>
        <v>T</v>
      </c>
    </row>
    <row r="331" spans="1:19" ht="13.5" thickBot="1" x14ac:dyDescent="0.25">
      <c r="A331" s="4">
        <f>DATEVALUE(DataIn!A351)</f>
        <v>42952</v>
      </c>
      <c r="B331" s="5" t="str">
        <f>DataIn!B351</f>
        <v>POS 512967XXXXXX4422 ZES*UBER INDIA S POS DEBIT</v>
      </c>
      <c r="C331" s="5" t="str">
        <f>DataIn!C351</f>
        <v>0000721740163165</v>
      </c>
      <c r="D331" s="5" t="str">
        <f>DataIn!D351</f>
        <v>05/08/17</v>
      </c>
      <c r="E331" s="5">
        <f>DataIn!E351</f>
        <v>94.99</v>
      </c>
      <c r="F331" s="5">
        <f>DataIn!F351</f>
        <v>0</v>
      </c>
      <c r="G331" s="5">
        <f>DataIn!G351</f>
        <v>83149.960000000006</v>
      </c>
      <c r="H331" s="6" t="b">
        <f>SUMPRODUCT(--ISNUMBER(SEARCH(CategoriesConfig!B$3:B$12,$B331)))&gt;0</f>
        <v>0</v>
      </c>
      <c r="I331" s="6" t="b">
        <f>SUMPRODUCT(--ISNUMBER(SEARCH(CategoriesConfig!C$3:C$12,$B331)))&gt;0</f>
        <v>1</v>
      </c>
      <c r="J331" s="6" t="b">
        <f>SUMPRODUCT(--ISNUMBER(SEARCH(CategoriesConfig!D$3:D$12,$B331)))&gt;0</f>
        <v>0</v>
      </c>
      <c r="K331" s="6" t="b">
        <f>SUMPRODUCT(--ISNUMBER(SEARCH(CategoriesConfig!E$3:E$12,$B331)))&gt;0</f>
        <v>0</v>
      </c>
      <c r="L331" s="6" t="b">
        <f>SUMPRODUCT(--ISNUMBER(SEARCH(CategoriesConfig!F$3:F$12,$B331)))&gt;0</f>
        <v>0</v>
      </c>
      <c r="M331" s="6" t="b">
        <f>SUMPRODUCT(--ISNUMBER(SEARCH(CategoriesConfig!G$3:G$12,$B331)))&gt;0</f>
        <v>0</v>
      </c>
      <c r="N331" s="6" t="b">
        <f>SUMPRODUCT(--ISNUMBER(SEARCH(CategoriesConfig!H$3:H$12,$B331)))&gt;0</f>
        <v>0</v>
      </c>
      <c r="O331" s="6" t="b">
        <f>SUMPRODUCT(--ISNUMBER(SEARCH(CategoriesConfig!I$3:I$12,$B331)))&gt;0</f>
        <v>0</v>
      </c>
      <c r="P331" s="22" t="b">
        <f t="shared" si="16"/>
        <v>0</v>
      </c>
      <c r="Q331" s="22">
        <f t="shared" si="17"/>
        <v>8</v>
      </c>
      <c r="R331" t="s">
        <v>222</v>
      </c>
      <c r="S331" s="6" t="str">
        <f t="shared" si="18"/>
        <v>T</v>
      </c>
    </row>
    <row r="332" spans="1:19" ht="13.5" thickBot="1" x14ac:dyDescent="0.25">
      <c r="A332" s="4">
        <f>DATEVALUE(DataIn!A352)</f>
        <v>42952</v>
      </c>
      <c r="B332" s="5" t="str">
        <f>DataIn!B352</f>
        <v>POS 512967XXXXXX4422 VICEROYS SARATHI POS DEBIT</v>
      </c>
      <c r="C332" s="5" t="str">
        <f>DataIn!C352</f>
        <v>0000000000427960</v>
      </c>
      <c r="D332" s="5" t="str">
        <f>DataIn!D352</f>
        <v>05/08/17</v>
      </c>
      <c r="E332" s="5">
        <f>DataIn!E352</f>
        <v>1511</v>
      </c>
      <c r="F332" s="5">
        <f>DataIn!F352</f>
        <v>0</v>
      </c>
      <c r="G332" s="5">
        <f>DataIn!G352</f>
        <v>81638.960000000006</v>
      </c>
      <c r="H332" s="6" t="b">
        <f>SUMPRODUCT(--ISNUMBER(SEARCH(CategoriesConfig!B$3:B$12,$B332)))&gt;0</f>
        <v>0</v>
      </c>
      <c r="I332" s="6" t="b">
        <f>SUMPRODUCT(--ISNUMBER(SEARCH(CategoriesConfig!C$3:C$12,$B332)))&gt;0</f>
        <v>0</v>
      </c>
      <c r="J332" s="6" t="b">
        <f>SUMPRODUCT(--ISNUMBER(SEARCH(CategoriesConfig!D$3:D$12,$B332)))&gt;0</f>
        <v>0</v>
      </c>
      <c r="K332" s="6" t="b">
        <f>SUMPRODUCT(--ISNUMBER(SEARCH(CategoriesConfig!E$3:E$12,$B332)))&gt;0</f>
        <v>0</v>
      </c>
      <c r="L332" s="6" t="b">
        <f>SUMPRODUCT(--ISNUMBER(SEARCH(CategoriesConfig!F$3:F$12,$B332)))&gt;0</f>
        <v>0</v>
      </c>
      <c r="M332" s="6" t="b">
        <f>SUMPRODUCT(--ISNUMBER(SEARCH(CategoriesConfig!G$3:G$12,$B332)))&gt;0</f>
        <v>0</v>
      </c>
      <c r="N332" s="6" t="b">
        <f>SUMPRODUCT(--ISNUMBER(SEARCH(CategoriesConfig!H$3:H$12,$B332)))&gt;0</f>
        <v>0</v>
      </c>
      <c r="O332" s="6" t="b">
        <f>SUMPRODUCT(--ISNUMBER(SEARCH(CategoriesConfig!I$3:I$12,$B332)))&gt;0</f>
        <v>0</v>
      </c>
      <c r="P332" s="22" t="b">
        <f t="shared" si="16"/>
        <v>1</v>
      </c>
      <c r="Q332" s="22">
        <f t="shared" si="17"/>
        <v>8</v>
      </c>
      <c r="R332" t="s">
        <v>222</v>
      </c>
      <c r="S332" s="6" t="str">
        <f t="shared" si="18"/>
        <v>T</v>
      </c>
    </row>
    <row r="333" spans="1:19" ht="13.5" thickBot="1" x14ac:dyDescent="0.25">
      <c r="A333" s="4">
        <f>DATEVALUE(DataIn!A353)</f>
        <v>42953</v>
      </c>
      <c r="B333" s="5" t="str">
        <f>DataIn!B353</f>
        <v>POS 512967XXXXXX4422 612 EAST POS DEBIT</v>
      </c>
      <c r="C333" s="5" t="str">
        <f>DataIn!C353</f>
        <v>0000000000001110</v>
      </c>
      <c r="D333" s="5" t="str">
        <f>DataIn!D353</f>
        <v>06/08/17</v>
      </c>
      <c r="E333" s="5">
        <f>DataIn!E353</f>
        <v>1600</v>
      </c>
      <c r="F333" s="5">
        <f>DataIn!F353</f>
        <v>0</v>
      </c>
      <c r="G333" s="5">
        <f>DataIn!G353</f>
        <v>80038.960000000006</v>
      </c>
      <c r="H333" s="6" t="b">
        <f>SUMPRODUCT(--ISNUMBER(SEARCH(CategoriesConfig!B$3:B$12,$B333)))&gt;0</f>
        <v>0</v>
      </c>
      <c r="I333" s="6" t="b">
        <f>SUMPRODUCT(--ISNUMBER(SEARCH(CategoriesConfig!C$3:C$12,$B333)))&gt;0</f>
        <v>0</v>
      </c>
      <c r="J333" s="6" t="b">
        <f>SUMPRODUCT(--ISNUMBER(SEARCH(CategoriesConfig!D$3:D$12,$B333)))&gt;0</f>
        <v>0</v>
      </c>
      <c r="K333" s="6" t="b">
        <f>SUMPRODUCT(--ISNUMBER(SEARCH(CategoriesConfig!E$3:E$12,$B333)))&gt;0</f>
        <v>0</v>
      </c>
      <c r="L333" s="6" t="b">
        <f>SUMPRODUCT(--ISNUMBER(SEARCH(CategoriesConfig!F$3:F$12,$B333)))&gt;0</f>
        <v>0</v>
      </c>
      <c r="M333" s="6" t="b">
        <f>SUMPRODUCT(--ISNUMBER(SEARCH(CategoriesConfig!G$3:G$12,$B333)))&gt;0</f>
        <v>0</v>
      </c>
      <c r="N333" s="6" t="b">
        <f>SUMPRODUCT(--ISNUMBER(SEARCH(CategoriesConfig!H$3:H$12,$B333)))&gt;0</f>
        <v>0</v>
      </c>
      <c r="O333" s="6" t="b">
        <f>SUMPRODUCT(--ISNUMBER(SEARCH(CategoriesConfig!I$3:I$12,$B333)))&gt;0</f>
        <v>0</v>
      </c>
      <c r="P333" s="22" t="b">
        <f t="shared" si="16"/>
        <v>1</v>
      </c>
      <c r="Q333" s="22">
        <f t="shared" si="17"/>
        <v>8</v>
      </c>
      <c r="R333" t="s">
        <v>222</v>
      </c>
      <c r="S333" s="6" t="str">
        <f t="shared" si="18"/>
        <v>T</v>
      </c>
    </row>
    <row r="334" spans="1:19" ht="13.5" thickBot="1" x14ac:dyDescent="0.25">
      <c r="A334" s="4">
        <f>DATEVALUE(DataIn!A354)</f>
        <v>42953</v>
      </c>
      <c r="B334" s="5" t="str">
        <f>DataIn!B354</f>
        <v>POS 512967XXXXXX4422 AIRLINES HOTEL POS DEBIT</v>
      </c>
      <c r="C334" s="5" t="str">
        <f>DataIn!C354</f>
        <v>0000000000000498</v>
      </c>
      <c r="D334" s="5" t="str">
        <f>DataIn!D354</f>
        <v>06/08/17</v>
      </c>
      <c r="E334" s="5">
        <f>DataIn!E354</f>
        <v>425</v>
      </c>
      <c r="F334" s="5">
        <f>DataIn!F354</f>
        <v>0</v>
      </c>
      <c r="G334" s="5">
        <f>DataIn!G354</f>
        <v>79613.960000000006</v>
      </c>
      <c r="H334" s="6" t="b">
        <f>SUMPRODUCT(--ISNUMBER(SEARCH(CategoriesConfig!B$3:B$12,$B334)))&gt;0</f>
        <v>0</v>
      </c>
      <c r="I334" s="6" t="b">
        <f>SUMPRODUCT(--ISNUMBER(SEARCH(CategoriesConfig!C$3:C$12,$B334)))&gt;0</f>
        <v>0</v>
      </c>
      <c r="J334" s="6" t="b">
        <f>SUMPRODUCT(--ISNUMBER(SEARCH(CategoriesConfig!D$3:D$12,$B334)))&gt;0</f>
        <v>0</v>
      </c>
      <c r="K334" s="6" t="b">
        <f>SUMPRODUCT(--ISNUMBER(SEARCH(CategoriesConfig!E$3:E$12,$B334)))&gt;0</f>
        <v>0</v>
      </c>
      <c r="L334" s="6" t="b">
        <f>SUMPRODUCT(--ISNUMBER(SEARCH(CategoriesConfig!F$3:F$12,$B334)))&gt;0</f>
        <v>0</v>
      </c>
      <c r="M334" s="6" t="b">
        <f>SUMPRODUCT(--ISNUMBER(SEARCH(CategoriesConfig!G$3:G$12,$B334)))&gt;0</f>
        <v>0</v>
      </c>
      <c r="N334" s="6" t="b">
        <f>SUMPRODUCT(--ISNUMBER(SEARCH(CategoriesConfig!H$3:H$12,$B334)))&gt;0</f>
        <v>0</v>
      </c>
      <c r="O334" s="6" t="b">
        <f>SUMPRODUCT(--ISNUMBER(SEARCH(CategoriesConfig!I$3:I$12,$B334)))&gt;0</f>
        <v>0</v>
      </c>
      <c r="P334" s="22" t="b">
        <f t="shared" si="16"/>
        <v>1</v>
      </c>
      <c r="Q334" s="22">
        <f t="shared" si="17"/>
        <v>8</v>
      </c>
      <c r="R334" t="s">
        <v>222</v>
      </c>
      <c r="S334" s="6" t="str">
        <f t="shared" si="18"/>
        <v>T</v>
      </c>
    </row>
    <row r="335" spans="1:19" ht="13.5" thickBot="1" x14ac:dyDescent="0.25">
      <c r="A335" s="4">
        <f>DATEVALUE(DataIn!A355)</f>
        <v>42953</v>
      </c>
      <c r="B335" s="5" t="str">
        <f>DataIn!B355</f>
        <v>POS 512967XXXXXX4422 THE OPEN BOX POS DEBIT</v>
      </c>
      <c r="C335" s="5" t="str">
        <f>DataIn!C355</f>
        <v>0000000000006735</v>
      </c>
      <c r="D335" s="5" t="str">
        <f>DataIn!D355</f>
        <v>06/08/17</v>
      </c>
      <c r="E335" s="5">
        <f>DataIn!E355</f>
        <v>407</v>
      </c>
      <c r="F335" s="5">
        <f>DataIn!F355</f>
        <v>0</v>
      </c>
      <c r="G335" s="5">
        <f>DataIn!G355</f>
        <v>79206.960000000006</v>
      </c>
      <c r="H335" s="6" t="b">
        <f>SUMPRODUCT(--ISNUMBER(SEARCH(CategoriesConfig!B$3:B$12,$B335)))&gt;0</f>
        <v>0</v>
      </c>
      <c r="I335" s="6" t="b">
        <f>SUMPRODUCT(--ISNUMBER(SEARCH(CategoriesConfig!C$3:C$12,$B335)))&gt;0</f>
        <v>0</v>
      </c>
      <c r="J335" s="6" t="b">
        <f>SUMPRODUCT(--ISNUMBER(SEARCH(CategoriesConfig!D$3:D$12,$B335)))&gt;0</f>
        <v>0</v>
      </c>
      <c r="K335" s="6" t="b">
        <f>SUMPRODUCT(--ISNUMBER(SEARCH(CategoriesConfig!E$3:E$12,$B335)))&gt;0</f>
        <v>0</v>
      </c>
      <c r="L335" s="6" t="b">
        <f>SUMPRODUCT(--ISNUMBER(SEARCH(CategoriesConfig!F$3:F$12,$B335)))&gt;0</f>
        <v>0</v>
      </c>
      <c r="M335" s="6" t="b">
        <f>SUMPRODUCT(--ISNUMBER(SEARCH(CategoriesConfig!G$3:G$12,$B335)))&gt;0</f>
        <v>0</v>
      </c>
      <c r="N335" s="6" t="b">
        <f>SUMPRODUCT(--ISNUMBER(SEARCH(CategoriesConfig!H$3:H$12,$B335)))&gt;0</f>
        <v>0</v>
      </c>
      <c r="O335" s="6" t="b">
        <f>SUMPRODUCT(--ISNUMBER(SEARCH(CategoriesConfig!I$3:I$12,$B335)))&gt;0</f>
        <v>0</v>
      </c>
      <c r="P335" s="22" t="b">
        <f t="shared" si="16"/>
        <v>1</v>
      </c>
      <c r="Q335" s="22">
        <f t="shared" si="17"/>
        <v>8</v>
      </c>
      <c r="R335" t="s">
        <v>222</v>
      </c>
      <c r="S335" s="6" t="str">
        <f t="shared" si="18"/>
        <v>T</v>
      </c>
    </row>
    <row r="336" spans="1:19" ht="13.5" thickBot="1" x14ac:dyDescent="0.25">
      <c r="A336" s="4">
        <f>DATEVALUE(DataIn!A356)</f>
        <v>42953</v>
      </c>
      <c r="B336" s="5" t="str">
        <f>DataIn!B356</f>
        <v>POS 512967XXXXXX4422 ZES*UBER INDIA S POS DEBIT</v>
      </c>
      <c r="C336" s="5" t="str">
        <f>DataIn!C356</f>
        <v>0000721860235430</v>
      </c>
      <c r="D336" s="5" t="str">
        <f>DataIn!D356</f>
        <v>06/08/17</v>
      </c>
      <c r="E336" s="5">
        <f>DataIn!E356</f>
        <v>123.26</v>
      </c>
      <c r="F336" s="5">
        <f>DataIn!F356</f>
        <v>0</v>
      </c>
      <c r="G336" s="5">
        <f>DataIn!G356</f>
        <v>79083.7</v>
      </c>
      <c r="H336" s="6" t="b">
        <f>SUMPRODUCT(--ISNUMBER(SEARCH(CategoriesConfig!B$3:B$12,$B336)))&gt;0</f>
        <v>0</v>
      </c>
      <c r="I336" s="6" t="b">
        <f>SUMPRODUCT(--ISNUMBER(SEARCH(CategoriesConfig!C$3:C$12,$B336)))&gt;0</f>
        <v>1</v>
      </c>
      <c r="J336" s="6" t="b">
        <f>SUMPRODUCT(--ISNUMBER(SEARCH(CategoriesConfig!D$3:D$12,$B336)))&gt;0</f>
        <v>0</v>
      </c>
      <c r="K336" s="6" t="b">
        <f>SUMPRODUCT(--ISNUMBER(SEARCH(CategoriesConfig!E$3:E$12,$B336)))&gt;0</f>
        <v>0</v>
      </c>
      <c r="L336" s="6" t="b">
        <f>SUMPRODUCT(--ISNUMBER(SEARCH(CategoriesConfig!F$3:F$12,$B336)))&gt;0</f>
        <v>0</v>
      </c>
      <c r="M336" s="6" t="b">
        <f>SUMPRODUCT(--ISNUMBER(SEARCH(CategoriesConfig!G$3:G$12,$B336)))&gt;0</f>
        <v>0</v>
      </c>
      <c r="N336" s="6" t="b">
        <f>SUMPRODUCT(--ISNUMBER(SEARCH(CategoriesConfig!H$3:H$12,$B336)))&gt;0</f>
        <v>0</v>
      </c>
      <c r="O336" s="6" t="b">
        <f>SUMPRODUCT(--ISNUMBER(SEARCH(CategoriesConfig!I$3:I$12,$B336)))&gt;0</f>
        <v>0</v>
      </c>
      <c r="P336" s="22" t="b">
        <f t="shared" si="16"/>
        <v>0</v>
      </c>
      <c r="Q336" s="22">
        <f t="shared" si="17"/>
        <v>8</v>
      </c>
      <c r="R336" t="s">
        <v>222</v>
      </c>
      <c r="S336" s="6" t="str">
        <f t="shared" si="18"/>
        <v>T</v>
      </c>
    </row>
    <row r="337" spans="1:19" ht="13.5" thickBot="1" x14ac:dyDescent="0.25">
      <c r="A337" s="4">
        <f>DATEVALUE(DataIn!A357)</f>
        <v>42953</v>
      </c>
      <c r="B337" s="5" t="str">
        <f>DataIn!B357</f>
        <v>POS 512967XXXXXX4422 HOTEL NAVAYUGA POS DEBIT</v>
      </c>
      <c r="C337" s="5" t="str">
        <f>DataIn!C357</f>
        <v>0000000000010083</v>
      </c>
      <c r="D337" s="5" t="str">
        <f>DataIn!D357</f>
        <v>07/08/17</v>
      </c>
      <c r="E337" s="5">
        <f>DataIn!E357</f>
        <v>390</v>
      </c>
      <c r="F337" s="5">
        <f>DataIn!F357</f>
        <v>0</v>
      </c>
      <c r="G337" s="5">
        <f>DataIn!G357</f>
        <v>78693.7</v>
      </c>
      <c r="H337" s="6" t="b">
        <f>SUMPRODUCT(--ISNUMBER(SEARCH(CategoriesConfig!B$3:B$12,$B337)))&gt;0</f>
        <v>0</v>
      </c>
      <c r="I337" s="6" t="b">
        <f>SUMPRODUCT(--ISNUMBER(SEARCH(CategoriesConfig!C$3:C$12,$B337)))&gt;0</f>
        <v>0</v>
      </c>
      <c r="J337" s="6" t="b">
        <f>SUMPRODUCT(--ISNUMBER(SEARCH(CategoriesConfig!D$3:D$12,$B337)))&gt;0</f>
        <v>0</v>
      </c>
      <c r="K337" s="6" t="b">
        <f>SUMPRODUCT(--ISNUMBER(SEARCH(CategoriesConfig!E$3:E$12,$B337)))&gt;0</f>
        <v>0</v>
      </c>
      <c r="L337" s="6" t="b">
        <f>SUMPRODUCT(--ISNUMBER(SEARCH(CategoriesConfig!F$3:F$12,$B337)))&gt;0</f>
        <v>0</v>
      </c>
      <c r="M337" s="6" t="b">
        <f>SUMPRODUCT(--ISNUMBER(SEARCH(CategoriesConfig!G$3:G$12,$B337)))&gt;0</f>
        <v>0</v>
      </c>
      <c r="N337" s="6" t="b">
        <f>SUMPRODUCT(--ISNUMBER(SEARCH(CategoriesConfig!H$3:H$12,$B337)))&gt;0</f>
        <v>0</v>
      </c>
      <c r="O337" s="6" t="b">
        <f>SUMPRODUCT(--ISNUMBER(SEARCH(CategoriesConfig!I$3:I$12,$B337)))&gt;0</f>
        <v>0</v>
      </c>
      <c r="P337" s="22" t="b">
        <f t="shared" si="16"/>
        <v>1</v>
      </c>
      <c r="Q337" s="22">
        <f t="shared" si="17"/>
        <v>8</v>
      </c>
      <c r="R337" t="s">
        <v>222</v>
      </c>
      <c r="S337" s="6" t="str">
        <f t="shared" si="18"/>
        <v>T</v>
      </c>
    </row>
    <row r="338" spans="1:19" ht="13.5" thickBot="1" x14ac:dyDescent="0.25">
      <c r="A338" s="4">
        <f>DATEVALUE(DataIn!A358)</f>
        <v>42954</v>
      </c>
      <c r="B338" s="5" t="str">
        <f>DataIn!B358</f>
        <v>EAW-512967XXXXXX4422-ID103901-BELLARY</v>
      </c>
      <c r="C338" s="5" t="str">
        <f>DataIn!C358</f>
        <v>0000721902574057</v>
      </c>
      <c r="D338" s="5" t="str">
        <f>DataIn!D358</f>
        <v>07/08/17</v>
      </c>
      <c r="E338" s="5">
        <f>DataIn!E358</f>
        <v>9000</v>
      </c>
      <c r="F338" s="5">
        <f>DataIn!F358</f>
        <v>0</v>
      </c>
      <c r="G338" s="5">
        <f>DataIn!G358</f>
        <v>69693.7</v>
      </c>
      <c r="H338" s="6" t="b">
        <f>SUMPRODUCT(--ISNUMBER(SEARCH(CategoriesConfig!B$3:B$12,$B338)))&gt;0</f>
        <v>0</v>
      </c>
      <c r="I338" s="6" t="b">
        <f>SUMPRODUCT(--ISNUMBER(SEARCH(CategoriesConfig!C$3:C$12,$B338)))&gt;0</f>
        <v>0</v>
      </c>
      <c r="J338" s="6" t="b">
        <f>SUMPRODUCT(--ISNUMBER(SEARCH(CategoriesConfig!D$3:D$12,$B338)))&gt;0</f>
        <v>0</v>
      </c>
      <c r="K338" s="6" t="b">
        <f>SUMPRODUCT(--ISNUMBER(SEARCH(CategoriesConfig!E$3:E$12,$B338)))&gt;0</f>
        <v>0</v>
      </c>
      <c r="L338" s="6" t="b">
        <f>SUMPRODUCT(--ISNUMBER(SEARCH(CategoriesConfig!F$3:F$12,$B338)))&gt;0</f>
        <v>0</v>
      </c>
      <c r="M338" s="6" t="b">
        <f>SUMPRODUCT(--ISNUMBER(SEARCH(CategoriesConfig!G$3:G$12,$B338)))&gt;0</f>
        <v>0</v>
      </c>
      <c r="N338" s="6" t="b">
        <f>SUMPRODUCT(--ISNUMBER(SEARCH(CategoriesConfig!H$3:H$12,$B338)))&gt;0</f>
        <v>1</v>
      </c>
      <c r="O338" s="6" t="b">
        <f>SUMPRODUCT(--ISNUMBER(SEARCH(CategoriesConfig!I$3:I$12,$B338)))&gt;0</f>
        <v>0</v>
      </c>
      <c r="P338" s="22" t="b">
        <f t="shared" si="16"/>
        <v>0</v>
      </c>
      <c r="Q338" s="22">
        <f t="shared" si="17"/>
        <v>8</v>
      </c>
      <c r="R338" t="s">
        <v>222</v>
      </c>
      <c r="S338" s="6" t="str">
        <f t="shared" si="18"/>
        <v>T</v>
      </c>
    </row>
    <row r="339" spans="1:19" ht="13.5" thickBot="1" x14ac:dyDescent="0.25">
      <c r="A339" s="4">
        <f>DATEVALUE(DataIn!A359)</f>
        <v>42956</v>
      </c>
      <c r="B339" s="5" t="str">
        <f>DataIn!B359</f>
        <v>NWD-512967XXXXXX4422-40305804-BELLARY</v>
      </c>
      <c r="C339" s="5" t="str">
        <f>DataIn!C359</f>
        <v>0000722114008646</v>
      </c>
      <c r="D339" s="5" t="str">
        <f>DataIn!D359</f>
        <v>09/08/17</v>
      </c>
      <c r="E339" s="5">
        <f>DataIn!E359</f>
        <v>3000</v>
      </c>
      <c r="F339" s="5">
        <f>DataIn!F359</f>
        <v>0</v>
      </c>
      <c r="G339" s="5">
        <f>DataIn!G359</f>
        <v>66693.7</v>
      </c>
      <c r="H339" s="6" t="b">
        <f>SUMPRODUCT(--ISNUMBER(SEARCH(CategoriesConfig!B$3:B$12,$B339)))&gt;0</f>
        <v>0</v>
      </c>
      <c r="I339" s="6" t="b">
        <f>SUMPRODUCT(--ISNUMBER(SEARCH(CategoriesConfig!C$3:C$12,$B339)))&gt;0</f>
        <v>0</v>
      </c>
      <c r="J339" s="6" t="b">
        <f>SUMPRODUCT(--ISNUMBER(SEARCH(CategoriesConfig!D$3:D$12,$B339)))&gt;0</f>
        <v>0</v>
      </c>
      <c r="K339" s="6" t="b">
        <f>SUMPRODUCT(--ISNUMBER(SEARCH(CategoriesConfig!E$3:E$12,$B339)))&gt;0</f>
        <v>0</v>
      </c>
      <c r="L339" s="6" t="b">
        <f>SUMPRODUCT(--ISNUMBER(SEARCH(CategoriesConfig!F$3:F$12,$B339)))&gt;0</f>
        <v>0</v>
      </c>
      <c r="M339" s="6" t="b">
        <f>SUMPRODUCT(--ISNUMBER(SEARCH(CategoriesConfig!G$3:G$12,$B339)))&gt;0</f>
        <v>0</v>
      </c>
      <c r="N339" s="6" t="b">
        <f>SUMPRODUCT(--ISNUMBER(SEARCH(CategoriesConfig!H$3:H$12,$B339)))&gt;0</f>
        <v>1</v>
      </c>
      <c r="O339" s="6" t="b">
        <f>SUMPRODUCT(--ISNUMBER(SEARCH(CategoriesConfig!I$3:I$12,$B339)))&gt;0</f>
        <v>0</v>
      </c>
      <c r="P339" s="22" t="b">
        <f t="shared" si="16"/>
        <v>0</v>
      </c>
      <c r="Q339" s="22">
        <f t="shared" si="17"/>
        <v>8</v>
      </c>
      <c r="R339" t="s">
        <v>222</v>
      </c>
      <c r="S339" s="6" t="str">
        <f t="shared" si="18"/>
        <v>T</v>
      </c>
    </row>
    <row r="340" spans="1:19" ht="13.5" thickBot="1" x14ac:dyDescent="0.25">
      <c r="A340" s="4">
        <f>DATEVALUE(DataIn!A360)</f>
        <v>42956</v>
      </c>
      <c r="B340" s="5" t="str">
        <f>DataIn!B360</f>
        <v>CCAEH1AAY686/CCADVTRAVELSGURUPVTL</v>
      </c>
      <c r="C340" s="5" t="str">
        <f>DataIn!C360</f>
        <v>0000172212651061</v>
      </c>
      <c r="D340" s="5" t="str">
        <f>DataIn!D360</f>
        <v>09/08/17</v>
      </c>
      <c r="E340" s="5">
        <f>DataIn!E360</f>
        <v>6623</v>
      </c>
      <c r="F340" s="5">
        <f>DataIn!F360</f>
        <v>0</v>
      </c>
      <c r="G340" s="5">
        <f>DataIn!G360</f>
        <v>60070.7</v>
      </c>
      <c r="H340" s="6" t="b">
        <f>SUMPRODUCT(--ISNUMBER(SEARCH(CategoriesConfig!B$3:B$12,$B340)))&gt;0</f>
        <v>0</v>
      </c>
      <c r="I340" s="6" t="b">
        <f>SUMPRODUCT(--ISNUMBER(SEARCH(CategoriesConfig!C$3:C$12,$B340)))&gt;0</f>
        <v>0</v>
      </c>
      <c r="J340" s="6" t="b">
        <f>SUMPRODUCT(--ISNUMBER(SEARCH(CategoriesConfig!D$3:D$12,$B340)))&gt;0</f>
        <v>0</v>
      </c>
      <c r="K340" s="6" t="b">
        <f>SUMPRODUCT(--ISNUMBER(SEARCH(CategoriesConfig!E$3:E$12,$B340)))&gt;0</f>
        <v>0</v>
      </c>
      <c r="L340" s="6" t="b">
        <f>SUMPRODUCT(--ISNUMBER(SEARCH(CategoriesConfig!F$3:F$12,$B340)))&gt;0</f>
        <v>0</v>
      </c>
      <c r="M340" s="6" t="b">
        <f>SUMPRODUCT(--ISNUMBER(SEARCH(CategoriesConfig!G$3:G$12,$B340)))&gt;0</f>
        <v>0</v>
      </c>
      <c r="N340" s="6" t="b">
        <f>SUMPRODUCT(--ISNUMBER(SEARCH(CategoriesConfig!H$3:H$12,$B340)))&gt;0</f>
        <v>0</v>
      </c>
      <c r="O340" s="6" t="b">
        <f>SUMPRODUCT(--ISNUMBER(SEARCH(CategoriesConfig!I$3:I$12,$B340)))&gt;0</f>
        <v>0</v>
      </c>
      <c r="P340" s="22" t="b">
        <f t="shared" si="16"/>
        <v>1</v>
      </c>
      <c r="Q340" s="22">
        <f t="shared" si="17"/>
        <v>8</v>
      </c>
      <c r="R340" t="s">
        <v>222</v>
      </c>
      <c r="S340" s="6" t="str">
        <f t="shared" si="18"/>
        <v>T</v>
      </c>
    </row>
    <row r="341" spans="1:19" ht="13.5" thickBot="1" x14ac:dyDescent="0.25">
      <c r="A341" s="4">
        <f>DATEVALUE(DataIn!A361)</f>
        <v>42956</v>
      </c>
      <c r="B341" s="5" t="str">
        <f>DataIn!B361</f>
        <v>POS 512967XXXXXX4422 TRAVELGURU_COM_C POS DEBIT</v>
      </c>
      <c r="C341" s="5" t="str">
        <f>DataIn!C361</f>
        <v>0000000000893778</v>
      </c>
      <c r="D341" s="5" t="str">
        <f>DataIn!D361</f>
        <v>09/08/17</v>
      </c>
      <c r="E341" s="5">
        <f>DataIn!E361</f>
        <v>5947</v>
      </c>
      <c r="F341" s="5">
        <f>DataIn!F361</f>
        <v>0</v>
      </c>
      <c r="G341" s="5">
        <f>DataIn!G361</f>
        <v>54123.7</v>
      </c>
      <c r="H341" s="6" t="b">
        <f>SUMPRODUCT(--ISNUMBER(SEARCH(CategoriesConfig!B$3:B$12,$B341)))&gt;0</f>
        <v>0</v>
      </c>
      <c r="I341" s="6" t="b">
        <f>SUMPRODUCT(--ISNUMBER(SEARCH(CategoriesConfig!C$3:C$12,$B341)))&gt;0</f>
        <v>0</v>
      </c>
      <c r="J341" s="6" t="b">
        <f>SUMPRODUCT(--ISNUMBER(SEARCH(CategoriesConfig!D$3:D$12,$B341)))&gt;0</f>
        <v>0</v>
      </c>
      <c r="K341" s="6" t="b">
        <f>SUMPRODUCT(--ISNUMBER(SEARCH(CategoriesConfig!E$3:E$12,$B341)))&gt;0</f>
        <v>0</v>
      </c>
      <c r="L341" s="6" t="b">
        <f>SUMPRODUCT(--ISNUMBER(SEARCH(CategoriesConfig!F$3:F$12,$B341)))&gt;0</f>
        <v>0</v>
      </c>
      <c r="M341" s="6" t="b">
        <f>SUMPRODUCT(--ISNUMBER(SEARCH(CategoriesConfig!G$3:G$12,$B341)))&gt;0</f>
        <v>0</v>
      </c>
      <c r="N341" s="6" t="b">
        <f>SUMPRODUCT(--ISNUMBER(SEARCH(CategoriesConfig!H$3:H$12,$B341)))&gt;0</f>
        <v>0</v>
      </c>
      <c r="O341" s="6" t="b">
        <f>SUMPRODUCT(--ISNUMBER(SEARCH(CategoriesConfig!I$3:I$12,$B341)))&gt;0</f>
        <v>0</v>
      </c>
      <c r="P341" s="22" t="b">
        <f t="shared" si="16"/>
        <v>1</v>
      </c>
      <c r="Q341" s="22">
        <f t="shared" si="17"/>
        <v>8</v>
      </c>
      <c r="R341" t="s">
        <v>222</v>
      </c>
      <c r="S341" s="6" t="str">
        <f t="shared" si="18"/>
        <v>T</v>
      </c>
    </row>
    <row r="342" spans="1:19" ht="13.5" thickBot="1" x14ac:dyDescent="0.25">
      <c r="A342" s="4">
        <f>DATEVALUE(DataIn!A362)</f>
        <v>42957</v>
      </c>
      <c r="B342" s="5" t="str">
        <f>DataIn!B362</f>
        <v>ATW-512967XXXXXX4422-P1DCGO27-NORTH GOA</v>
      </c>
      <c r="C342" s="5" t="str">
        <f>DataIn!C362</f>
        <v>0000000000006726</v>
      </c>
      <c r="D342" s="5" t="str">
        <f>DataIn!D362</f>
        <v>10/08/17</v>
      </c>
      <c r="E342" s="5">
        <f>DataIn!E362</f>
        <v>9000</v>
      </c>
      <c r="F342" s="5">
        <f>DataIn!F362</f>
        <v>0</v>
      </c>
      <c r="G342" s="5">
        <f>DataIn!G362</f>
        <v>45123.7</v>
      </c>
      <c r="H342" s="6" t="b">
        <f>SUMPRODUCT(--ISNUMBER(SEARCH(CategoriesConfig!B$3:B$12,$B342)))&gt;0</f>
        <v>0</v>
      </c>
      <c r="I342" s="6" t="b">
        <f>SUMPRODUCT(--ISNUMBER(SEARCH(CategoriesConfig!C$3:C$12,$B342)))&gt;0</f>
        <v>0</v>
      </c>
      <c r="J342" s="6" t="b">
        <f>SUMPRODUCT(--ISNUMBER(SEARCH(CategoriesConfig!D$3:D$12,$B342)))&gt;0</f>
        <v>0</v>
      </c>
      <c r="K342" s="6" t="b">
        <f>SUMPRODUCT(--ISNUMBER(SEARCH(CategoriesConfig!E$3:E$12,$B342)))&gt;0</f>
        <v>0</v>
      </c>
      <c r="L342" s="6" t="b">
        <f>SUMPRODUCT(--ISNUMBER(SEARCH(CategoriesConfig!F$3:F$12,$B342)))&gt;0</f>
        <v>0</v>
      </c>
      <c r="M342" s="6" t="b">
        <f>SUMPRODUCT(--ISNUMBER(SEARCH(CategoriesConfig!G$3:G$12,$B342)))&gt;0</f>
        <v>0</v>
      </c>
      <c r="N342" s="6" t="b">
        <f>SUMPRODUCT(--ISNUMBER(SEARCH(CategoriesConfig!H$3:H$12,$B342)))&gt;0</f>
        <v>1</v>
      </c>
      <c r="O342" s="6" t="b">
        <f>SUMPRODUCT(--ISNUMBER(SEARCH(CategoriesConfig!I$3:I$12,$B342)))&gt;0</f>
        <v>0</v>
      </c>
      <c r="P342" s="22" t="b">
        <f t="shared" si="16"/>
        <v>0</v>
      </c>
      <c r="Q342" s="22">
        <f t="shared" si="17"/>
        <v>8</v>
      </c>
      <c r="R342" t="s">
        <v>222</v>
      </c>
      <c r="S342" s="6" t="str">
        <f t="shared" si="18"/>
        <v>T</v>
      </c>
    </row>
    <row r="343" spans="1:19" ht="13.5" thickBot="1" x14ac:dyDescent="0.25">
      <c r="A343" s="4">
        <f>DATEVALUE(DataIn!A363)</f>
        <v>42957</v>
      </c>
      <c r="B343" s="5" t="str">
        <f>DataIn!B363</f>
        <v>POS 512967XXXXXX4422 BRITTOS BAR POS DEBIT</v>
      </c>
      <c r="C343" s="5" t="str">
        <f>DataIn!C363</f>
        <v>0000000000001172</v>
      </c>
      <c r="D343" s="5" t="str">
        <f>DataIn!D363</f>
        <v>10/08/17</v>
      </c>
      <c r="E343" s="5">
        <f>DataIn!E363</f>
        <v>3234</v>
      </c>
      <c r="F343" s="5">
        <f>DataIn!F363</f>
        <v>0</v>
      </c>
      <c r="G343" s="5">
        <f>DataIn!G363</f>
        <v>41889.699999999997</v>
      </c>
      <c r="H343" s="6" t="b">
        <f>SUMPRODUCT(--ISNUMBER(SEARCH(CategoriesConfig!B$3:B$12,$B343)))&gt;0</f>
        <v>0</v>
      </c>
      <c r="I343" s="6" t="b">
        <f>SUMPRODUCT(--ISNUMBER(SEARCH(CategoriesConfig!C$3:C$12,$B343)))&gt;0</f>
        <v>0</v>
      </c>
      <c r="J343" s="6" t="b">
        <f>SUMPRODUCT(--ISNUMBER(SEARCH(CategoriesConfig!D$3:D$12,$B343)))&gt;0</f>
        <v>0</v>
      </c>
      <c r="K343" s="6" t="b">
        <f>SUMPRODUCT(--ISNUMBER(SEARCH(CategoriesConfig!E$3:E$12,$B343)))&gt;0</f>
        <v>0</v>
      </c>
      <c r="L343" s="6" t="b">
        <f>SUMPRODUCT(--ISNUMBER(SEARCH(CategoriesConfig!F$3:F$12,$B343)))&gt;0</f>
        <v>0</v>
      </c>
      <c r="M343" s="6" t="b">
        <f>SUMPRODUCT(--ISNUMBER(SEARCH(CategoriesConfig!G$3:G$12,$B343)))&gt;0</f>
        <v>0</v>
      </c>
      <c r="N343" s="6" t="b">
        <f>SUMPRODUCT(--ISNUMBER(SEARCH(CategoriesConfig!H$3:H$12,$B343)))&gt;0</f>
        <v>0</v>
      </c>
      <c r="O343" s="6" t="b">
        <f>SUMPRODUCT(--ISNUMBER(SEARCH(CategoriesConfig!I$3:I$12,$B343)))&gt;0</f>
        <v>0</v>
      </c>
      <c r="P343" s="22" t="b">
        <f t="shared" si="16"/>
        <v>1</v>
      </c>
      <c r="Q343" s="22">
        <f t="shared" si="17"/>
        <v>8</v>
      </c>
      <c r="R343" t="s">
        <v>222</v>
      </c>
      <c r="S343" s="6" t="str">
        <f t="shared" si="18"/>
        <v>T</v>
      </c>
    </row>
    <row r="344" spans="1:19" ht="13.5" thickBot="1" x14ac:dyDescent="0.25">
      <c r="A344" s="4">
        <f>DATEVALUE(DataIn!A364)</f>
        <v>42958</v>
      </c>
      <c r="B344" s="5" t="str">
        <f>DataIn!B364</f>
        <v>POS 512967XXXXXX4422 GASTRONOME PARTN POS DEBIT</v>
      </c>
      <c r="C344" s="5" t="str">
        <f>DataIn!C364</f>
        <v>0000000000000063</v>
      </c>
      <c r="D344" s="5" t="str">
        <f>DataIn!D364</f>
        <v>11/08/17</v>
      </c>
      <c r="E344" s="5">
        <f>DataIn!E364</f>
        <v>2650</v>
      </c>
      <c r="F344" s="5">
        <f>DataIn!F364</f>
        <v>0</v>
      </c>
      <c r="G344" s="5">
        <f>DataIn!G364</f>
        <v>39239.699999999997</v>
      </c>
      <c r="H344" s="6" t="b">
        <f>SUMPRODUCT(--ISNUMBER(SEARCH(CategoriesConfig!B$3:B$12,$B344)))&gt;0</f>
        <v>0</v>
      </c>
      <c r="I344" s="6" t="b">
        <f>SUMPRODUCT(--ISNUMBER(SEARCH(CategoriesConfig!C$3:C$12,$B344)))&gt;0</f>
        <v>0</v>
      </c>
      <c r="J344" s="6" t="b">
        <f>SUMPRODUCT(--ISNUMBER(SEARCH(CategoriesConfig!D$3:D$12,$B344)))&gt;0</f>
        <v>0</v>
      </c>
      <c r="K344" s="6" t="b">
        <f>SUMPRODUCT(--ISNUMBER(SEARCH(CategoriesConfig!E$3:E$12,$B344)))&gt;0</f>
        <v>0</v>
      </c>
      <c r="L344" s="6" t="b">
        <f>SUMPRODUCT(--ISNUMBER(SEARCH(CategoriesConfig!F$3:F$12,$B344)))&gt;0</f>
        <v>0</v>
      </c>
      <c r="M344" s="6" t="b">
        <f>SUMPRODUCT(--ISNUMBER(SEARCH(CategoriesConfig!G$3:G$12,$B344)))&gt;0</f>
        <v>0</v>
      </c>
      <c r="N344" s="6" t="b">
        <f>SUMPRODUCT(--ISNUMBER(SEARCH(CategoriesConfig!H$3:H$12,$B344)))&gt;0</f>
        <v>0</v>
      </c>
      <c r="O344" s="6" t="b">
        <f>SUMPRODUCT(--ISNUMBER(SEARCH(CategoriesConfig!I$3:I$12,$B344)))&gt;0</f>
        <v>0</v>
      </c>
      <c r="P344" s="22" t="b">
        <f t="shared" si="16"/>
        <v>1</v>
      </c>
      <c r="Q344" s="22">
        <f t="shared" si="17"/>
        <v>8</v>
      </c>
      <c r="R344" t="s">
        <v>222</v>
      </c>
      <c r="S344" s="6" t="str">
        <f t="shared" si="18"/>
        <v>T</v>
      </c>
    </row>
    <row r="345" spans="1:19" ht="13.5" thickBot="1" x14ac:dyDescent="0.25">
      <c r="A345" s="4">
        <f>DATEVALUE(DataIn!A365)</f>
        <v>42959</v>
      </c>
      <c r="B345" s="5" t="str">
        <f>DataIn!B365</f>
        <v>POS 512967XXXXXX4422 ERA HOSPITALITY POS DEBIT</v>
      </c>
      <c r="C345" s="5" t="str">
        <f>DataIn!C365</f>
        <v>0000000000371130</v>
      </c>
      <c r="D345" s="5" t="str">
        <f>DataIn!D365</f>
        <v>12/08/17</v>
      </c>
      <c r="E345" s="5">
        <f>DataIn!E365</f>
        <v>624</v>
      </c>
      <c r="F345" s="5">
        <f>DataIn!F365</f>
        <v>0</v>
      </c>
      <c r="G345" s="5">
        <f>DataIn!G365</f>
        <v>38615.699999999997</v>
      </c>
      <c r="H345" s="6" t="b">
        <f>SUMPRODUCT(--ISNUMBER(SEARCH(CategoriesConfig!B$3:B$12,$B345)))&gt;0</f>
        <v>0</v>
      </c>
      <c r="I345" s="6" t="b">
        <f>SUMPRODUCT(--ISNUMBER(SEARCH(CategoriesConfig!C$3:C$12,$B345)))&gt;0</f>
        <v>0</v>
      </c>
      <c r="J345" s="6" t="b">
        <f>SUMPRODUCT(--ISNUMBER(SEARCH(CategoriesConfig!D$3:D$12,$B345)))&gt;0</f>
        <v>0</v>
      </c>
      <c r="K345" s="6" t="b">
        <f>SUMPRODUCT(--ISNUMBER(SEARCH(CategoriesConfig!E$3:E$12,$B345)))&gt;0</f>
        <v>0</v>
      </c>
      <c r="L345" s="6" t="b">
        <f>SUMPRODUCT(--ISNUMBER(SEARCH(CategoriesConfig!F$3:F$12,$B345)))&gt;0</f>
        <v>0</v>
      </c>
      <c r="M345" s="6" t="b">
        <f>SUMPRODUCT(--ISNUMBER(SEARCH(CategoriesConfig!G$3:G$12,$B345)))&gt;0</f>
        <v>0</v>
      </c>
      <c r="N345" s="6" t="b">
        <f>SUMPRODUCT(--ISNUMBER(SEARCH(CategoriesConfig!H$3:H$12,$B345)))&gt;0</f>
        <v>0</v>
      </c>
      <c r="O345" s="6" t="b">
        <f>SUMPRODUCT(--ISNUMBER(SEARCH(CategoriesConfig!I$3:I$12,$B345)))&gt;0</f>
        <v>0</v>
      </c>
      <c r="P345" s="22" t="b">
        <f t="shared" si="16"/>
        <v>1</v>
      </c>
      <c r="Q345" s="22">
        <f t="shared" si="17"/>
        <v>8</v>
      </c>
      <c r="R345" t="s">
        <v>222</v>
      </c>
      <c r="S345" s="6" t="str">
        <f t="shared" si="18"/>
        <v>T</v>
      </c>
    </row>
    <row r="346" spans="1:19" ht="13.5" thickBot="1" x14ac:dyDescent="0.25">
      <c r="A346" s="4">
        <f>DATEVALUE(DataIn!A366)</f>
        <v>42959</v>
      </c>
      <c r="B346" s="5" t="str">
        <f>DataIn!B366</f>
        <v>NWD-512967XXXXXX4422-08291621-UTTARA KANNAD</v>
      </c>
      <c r="C346" s="5" t="str">
        <f>DataIn!C366</f>
        <v>0000722421031859</v>
      </c>
      <c r="D346" s="5" t="str">
        <f>DataIn!D366</f>
        <v>12/08/17</v>
      </c>
      <c r="E346" s="5">
        <f>DataIn!E366</f>
        <v>3000</v>
      </c>
      <c r="F346" s="5">
        <f>DataIn!F366</f>
        <v>0</v>
      </c>
      <c r="G346" s="5">
        <f>DataIn!G366</f>
        <v>35615.699999999997</v>
      </c>
      <c r="H346" s="6" t="b">
        <f>SUMPRODUCT(--ISNUMBER(SEARCH(CategoriesConfig!B$3:B$12,$B346)))&gt;0</f>
        <v>0</v>
      </c>
      <c r="I346" s="6" t="b">
        <f>SUMPRODUCT(--ISNUMBER(SEARCH(CategoriesConfig!C$3:C$12,$B346)))&gt;0</f>
        <v>0</v>
      </c>
      <c r="J346" s="6" t="b">
        <f>SUMPRODUCT(--ISNUMBER(SEARCH(CategoriesConfig!D$3:D$12,$B346)))&gt;0</f>
        <v>0</v>
      </c>
      <c r="K346" s="6" t="b">
        <f>SUMPRODUCT(--ISNUMBER(SEARCH(CategoriesConfig!E$3:E$12,$B346)))&gt;0</f>
        <v>0</v>
      </c>
      <c r="L346" s="6" t="b">
        <f>SUMPRODUCT(--ISNUMBER(SEARCH(CategoriesConfig!F$3:F$12,$B346)))&gt;0</f>
        <v>0</v>
      </c>
      <c r="M346" s="6" t="b">
        <f>SUMPRODUCT(--ISNUMBER(SEARCH(CategoriesConfig!G$3:G$12,$B346)))&gt;0</f>
        <v>0</v>
      </c>
      <c r="N346" s="6" t="b">
        <f>SUMPRODUCT(--ISNUMBER(SEARCH(CategoriesConfig!H$3:H$12,$B346)))&gt;0</f>
        <v>1</v>
      </c>
      <c r="O346" s="6" t="b">
        <f>SUMPRODUCT(--ISNUMBER(SEARCH(CategoriesConfig!I$3:I$12,$B346)))&gt;0</f>
        <v>0</v>
      </c>
      <c r="P346" s="22" t="b">
        <f t="shared" si="16"/>
        <v>0</v>
      </c>
      <c r="Q346" s="22">
        <f t="shared" si="17"/>
        <v>8</v>
      </c>
      <c r="R346" t="s">
        <v>222</v>
      </c>
      <c r="S346" s="6" t="str">
        <f t="shared" si="18"/>
        <v>T</v>
      </c>
    </row>
    <row r="347" spans="1:19" ht="13.5" thickBot="1" x14ac:dyDescent="0.25">
      <c r="A347" s="4">
        <f>DATEVALUE(DataIn!A367)</f>
        <v>42961</v>
      </c>
      <c r="B347" s="5" t="str">
        <f>DataIn!B367</f>
        <v>NWD-512967XXXXXX4422-A0306001-KARWAR</v>
      </c>
      <c r="C347" s="5" t="str">
        <f>DataIn!C367</f>
        <v>0000722615190207</v>
      </c>
      <c r="D347" s="5" t="str">
        <f>DataIn!D367</f>
        <v>14/08/17</v>
      </c>
      <c r="E347" s="5">
        <f>DataIn!E367</f>
        <v>5000</v>
      </c>
      <c r="F347" s="5">
        <f>DataIn!F367</f>
        <v>0</v>
      </c>
      <c r="G347" s="5">
        <f>DataIn!G367</f>
        <v>30615.7</v>
      </c>
      <c r="H347" s="6" t="b">
        <f>SUMPRODUCT(--ISNUMBER(SEARCH(CategoriesConfig!B$3:B$12,$B347)))&gt;0</f>
        <v>0</v>
      </c>
      <c r="I347" s="6" t="b">
        <f>SUMPRODUCT(--ISNUMBER(SEARCH(CategoriesConfig!C$3:C$12,$B347)))&gt;0</f>
        <v>0</v>
      </c>
      <c r="J347" s="6" t="b">
        <f>SUMPRODUCT(--ISNUMBER(SEARCH(CategoriesConfig!D$3:D$12,$B347)))&gt;0</f>
        <v>0</v>
      </c>
      <c r="K347" s="6" t="b">
        <f>SUMPRODUCT(--ISNUMBER(SEARCH(CategoriesConfig!E$3:E$12,$B347)))&gt;0</f>
        <v>0</v>
      </c>
      <c r="L347" s="6" t="b">
        <f>SUMPRODUCT(--ISNUMBER(SEARCH(CategoriesConfig!F$3:F$12,$B347)))&gt;0</f>
        <v>0</v>
      </c>
      <c r="M347" s="6" t="b">
        <f>SUMPRODUCT(--ISNUMBER(SEARCH(CategoriesConfig!G$3:G$12,$B347)))&gt;0</f>
        <v>0</v>
      </c>
      <c r="N347" s="6" t="b">
        <f>SUMPRODUCT(--ISNUMBER(SEARCH(CategoriesConfig!H$3:H$12,$B347)))&gt;0</f>
        <v>1</v>
      </c>
      <c r="O347" s="6" t="b">
        <f>SUMPRODUCT(--ISNUMBER(SEARCH(CategoriesConfig!I$3:I$12,$B347)))&gt;0</f>
        <v>0</v>
      </c>
      <c r="P347" s="22" t="b">
        <f t="shared" si="16"/>
        <v>0</v>
      </c>
      <c r="Q347" s="22">
        <f t="shared" si="17"/>
        <v>8</v>
      </c>
      <c r="R347" t="s">
        <v>222</v>
      </c>
      <c r="S347" s="6" t="str">
        <f t="shared" si="18"/>
        <v>T</v>
      </c>
    </row>
    <row r="348" spans="1:19" ht="13.5" thickBot="1" x14ac:dyDescent="0.25">
      <c r="A348" s="4">
        <f>DATEVALUE(DataIn!A368)</f>
        <v>42961</v>
      </c>
      <c r="B348" s="5" t="str">
        <f>DataIn!B368</f>
        <v>NEFT CR-HSBC0400002-SALARY AND BULK PAYMENTS-LAWRENCE JAMES ROBSON COX-HSBCN17226408252</v>
      </c>
      <c r="C348" s="5" t="str">
        <f>DataIn!C368</f>
        <v>HSBCN17226408252</v>
      </c>
      <c r="D348" s="5" t="str">
        <f>DataIn!D368</f>
        <v>14/08/17</v>
      </c>
      <c r="E348" s="5">
        <f>DataIn!E368</f>
        <v>0</v>
      </c>
      <c r="F348" s="5">
        <f>DataIn!F368</f>
        <v>111298</v>
      </c>
      <c r="G348" s="5">
        <f>DataIn!G368</f>
        <v>141913.70000000001</v>
      </c>
      <c r="H348" s="6" t="b">
        <f>SUMPRODUCT(--ISNUMBER(SEARCH(CategoriesConfig!B$3:B$12,$B348)))&gt;0</f>
        <v>1</v>
      </c>
      <c r="I348" s="6" t="b">
        <f>SUMPRODUCT(--ISNUMBER(SEARCH(CategoriesConfig!C$3:C$12,$B348)))&gt;0</f>
        <v>0</v>
      </c>
      <c r="J348" s="6" t="b">
        <f>SUMPRODUCT(--ISNUMBER(SEARCH(CategoriesConfig!D$3:D$12,$B348)))&gt;0</f>
        <v>0</v>
      </c>
      <c r="K348" s="6" t="b">
        <f>SUMPRODUCT(--ISNUMBER(SEARCH(CategoriesConfig!E$3:E$12,$B348)))&gt;0</f>
        <v>0</v>
      </c>
      <c r="L348" s="6" t="b">
        <f>SUMPRODUCT(--ISNUMBER(SEARCH(CategoriesConfig!F$3:F$12,$B348)))&gt;0</f>
        <v>0</v>
      </c>
      <c r="M348" s="6" t="b">
        <f>SUMPRODUCT(--ISNUMBER(SEARCH(CategoriesConfig!G$3:G$12,$B348)))&gt;0</f>
        <v>0</v>
      </c>
      <c r="N348" s="6" t="b">
        <f>SUMPRODUCT(--ISNUMBER(SEARCH(CategoriesConfig!H$3:H$12,$B348)))&gt;0</f>
        <v>0</v>
      </c>
      <c r="O348" s="6" t="b">
        <f>SUMPRODUCT(--ISNUMBER(SEARCH(CategoriesConfig!I$3:I$12,$B348)))&gt;0</f>
        <v>0</v>
      </c>
      <c r="P348" s="22" t="b">
        <f t="shared" si="16"/>
        <v>0</v>
      </c>
      <c r="Q348" s="22">
        <f t="shared" si="17"/>
        <v>8</v>
      </c>
      <c r="S348" s="6" t="str">
        <f t="shared" si="18"/>
        <v>I</v>
      </c>
    </row>
    <row r="349" spans="1:19" ht="13.5" thickBot="1" x14ac:dyDescent="0.25">
      <c r="A349" s="4">
        <f>DATEVALUE(DataIn!A369)</f>
        <v>42961</v>
      </c>
      <c r="B349" s="5" t="str">
        <f>DataIn!B369</f>
        <v>POS 512967XXXXXX4422 PAY*REDBUS IN POS DEBIT</v>
      </c>
      <c r="C349" s="5" t="str">
        <f>DataIn!C369</f>
        <v>0000722640280178</v>
      </c>
      <c r="D349" s="5" t="str">
        <f>DataIn!D369</f>
        <v>14/08/17</v>
      </c>
      <c r="E349" s="5">
        <f>DataIn!E369</f>
        <v>2998</v>
      </c>
      <c r="F349" s="5">
        <f>DataIn!F369</f>
        <v>0</v>
      </c>
      <c r="G349" s="5">
        <f>DataIn!G369</f>
        <v>138915.70000000001</v>
      </c>
      <c r="H349" s="6" t="b">
        <f>SUMPRODUCT(--ISNUMBER(SEARCH(CategoriesConfig!B$3:B$12,$B349)))&gt;0</f>
        <v>0</v>
      </c>
      <c r="I349" s="6" t="b">
        <f>SUMPRODUCT(--ISNUMBER(SEARCH(CategoriesConfig!C$3:C$12,$B349)))&gt;0</f>
        <v>0</v>
      </c>
      <c r="J349" s="6" t="b">
        <f>SUMPRODUCT(--ISNUMBER(SEARCH(CategoriesConfig!D$3:D$12,$B349)))&gt;0</f>
        <v>0</v>
      </c>
      <c r="K349" s="6" t="b">
        <f>SUMPRODUCT(--ISNUMBER(SEARCH(CategoriesConfig!E$3:E$12,$B349)))&gt;0</f>
        <v>0</v>
      </c>
      <c r="L349" s="6" t="b">
        <f>SUMPRODUCT(--ISNUMBER(SEARCH(CategoriesConfig!F$3:F$12,$B349)))&gt;0</f>
        <v>0</v>
      </c>
      <c r="M349" s="6" t="b">
        <f>SUMPRODUCT(--ISNUMBER(SEARCH(CategoriesConfig!G$3:G$12,$B349)))&gt;0</f>
        <v>0</v>
      </c>
      <c r="N349" s="6" t="b">
        <f>SUMPRODUCT(--ISNUMBER(SEARCH(CategoriesConfig!H$3:H$12,$B349)))&gt;0</f>
        <v>0</v>
      </c>
      <c r="O349" s="6" t="b">
        <f>SUMPRODUCT(--ISNUMBER(SEARCH(CategoriesConfig!I$3:I$12,$B349)))&gt;0</f>
        <v>0</v>
      </c>
      <c r="P349" s="22" t="b">
        <f t="shared" si="16"/>
        <v>1</v>
      </c>
      <c r="Q349" s="22">
        <f t="shared" si="17"/>
        <v>8</v>
      </c>
      <c r="R349" t="s">
        <v>222</v>
      </c>
      <c r="S349" s="6" t="str">
        <f t="shared" si="18"/>
        <v>T</v>
      </c>
    </row>
    <row r="350" spans="1:19" ht="13.5" thickBot="1" x14ac:dyDescent="0.25">
      <c r="A350" s="4">
        <f>DATEVALUE(DataIn!A370)</f>
        <v>42962</v>
      </c>
      <c r="B350" s="5" t="str">
        <f>DataIn!B370</f>
        <v>NWD-512967XXXXXX4422-KBL17005-MANGALORE</v>
      </c>
      <c r="C350" s="5" t="str">
        <f>DataIn!C370</f>
        <v>0000722712392890</v>
      </c>
      <c r="D350" s="5" t="str">
        <f>DataIn!D370</f>
        <v>15/08/17</v>
      </c>
      <c r="E350" s="5">
        <f>DataIn!E370</f>
        <v>5000</v>
      </c>
      <c r="F350" s="5">
        <f>DataIn!F370</f>
        <v>0</v>
      </c>
      <c r="G350" s="5">
        <f>DataIn!G370</f>
        <v>133915.70000000001</v>
      </c>
      <c r="H350" s="6" t="b">
        <f>SUMPRODUCT(--ISNUMBER(SEARCH(CategoriesConfig!B$3:B$12,$B350)))&gt;0</f>
        <v>0</v>
      </c>
      <c r="I350" s="6" t="b">
        <f>SUMPRODUCT(--ISNUMBER(SEARCH(CategoriesConfig!C$3:C$12,$B350)))&gt;0</f>
        <v>0</v>
      </c>
      <c r="J350" s="6" t="b">
        <f>SUMPRODUCT(--ISNUMBER(SEARCH(CategoriesConfig!D$3:D$12,$B350)))&gt;0</f>
        <v>0</v>
      </c>
      <c r="K350" s="6" t="b">
        <f>SUMPRODUCT(--ISNUMBER(SEARCH(CategoriesConfig!E$3:E$12,$B350)))&gt;0</f>
        <v>0</v>
      </c>
      <c r="L350" s="6" t="b">
        <f>SUMPRODUCT(--ISNUMBER(SEARCH(CategoriesConfig!F$3:F$12,$B350)))&gt;0</f>
        <v>0</v>
      </c>
      <c r="M350" s="6" t="b">
        <f>SUMPRODUCT(--ISNUMBER(SEARCH(CategoriesConfig!G$3:G$12,$B350)))&gt;0</f>
        <v>0</v>
      </c>
      <c r="N350" s="6" t="b">
        <f>SUMPRODUCT(--ISNUMBER(SEARCH(CategoriesConfig!H$3:H$12,$B350)))&gt;0</f>
        <v>1</v>
      </c>
      <c r="O350" s="6" t="b">
        <f>SUMPRODUCT(--ISNUMBER(SEARCH(CategoriesConfig!I$3:I$12,$B350)))&gt;0</f>
        <v>0</v>
      </c>
      <c r="P350" s="22" t="b">
        <f t="shared" si="16"/>
        <v>0</v>
      </c>
      <c r="Q350" s="22">
        <f t="shared" si="17"/>
        <v>8</v>
      </c>
      <c r="R350" t="s">
        <v>222</v>
      </c>
      <c r="S350" s="6" t="str">
        <f t="shared" si="18"/>
        <v>T</v>
      </c>
    </row>
    <row r="351" spans="1:19" ht="13.5" thickBot="1" x14ac:dyDescent="0.25">
      <c r="A351" s="4">
        <f>DATEVALUE(DataIn!A371)</f>
        <v>42963</v>
      </c>
      <c r="B351" s="5" t="str">
        <f>DataIn!B371</f>
        <v>POS 512967XXXXXX4422 CELEBRATIONS, POS DEBIT</v>
      </c>
      <c r="C351" s="5" t="str">
        <f>DataIn!C371</f>
        <v>0000000000025729</v>
      </c>
      <c r="D351" s="5" t="str">
        <f>DataIn!D371</f>
        <v>16/08/17</v>
      </c>
      <c r="E351" s="5">
        <f>DataIn!E371</f>
        <v>94</v>
      </c>
      <c r="F351" s="5">
        <f>DataIn!F371</f>
        <v>0</v>
      </c>
      <c r="G351" s="5">
        <f>DataIn!G371</f>
        <v>133821.70000000001</v>
      </c>
      <c r="H351" s="6" t="b">
        <f>SUMPRODUCT(--ISNUMBER(SEARCH(CategoriesConfig!B$3:B$12,$B351)))&gt;0</f>
        <v>0</v>
      </c>
      <c r="I351" s="6" t="b">
        <f>SUMPRODUCT(--ISNUMBER(SEARCH(CategoriesConfig!C$3:C$12,$B351)))&gt;0</f>
        <v>0</v>
      </c>
      <c r="J351" s="6" t="b">
        <f>SUMPRODUCT(--ISNUMBER(SEARCH(CategoriesConfig!D$3:D$12,$B351)))&gt;0</f>
        <v>1</v>
      </c>
      <c r="K351" s="6" t="b">
        <f>SUMPRODUCT(--ISNUMBER(SEARCH(CategoriesConfig!E$3:E$12,$B351)))&gt;0</f>
        <v>0</v>
      </c>
      <c r="L351" s="6" t="b">
        <f>SUMPRODUCT(--ISNUMBER(SEARCH(CategoriesConfig!F$3:F$12,$B351)))&gt;0</f>
        <v>0</v>
      </c>
      <c r="M351" s="6" t="b">
        <f>SUMPRODUCT(--ISNUMBER(SEARCH(CategoriesConfig!G$3:G$12,$B351)))&gt;0</f>
        <v>0</v>
      </c>
      <c r="N351" s="6" t="b">
        <f>SUMPRODUCT(--ISNUMBER(SEARCH(CategoriesConfig!H$3:H$12,$B351)))&gt;0</f>
        <v>0</v>
      </c>
      <c r="O351" s="6" t="b">
        <f>SUMPRODUCT(--ISNUMBER(SEARCH(CategoriesConfig!I$3:I$12,$B351)))&gt;0</f>
        <v>0</v>
      </c>
      <c r="P351" s="22" t="b">
        <f t="shared" ref="P351:P357" si="19">IF(SUMIF(H351:O351,"TRUE",H$1:O$1)=0,TRUE,FALSE)</f>
        <v>0</v>
      </c>
      <c r="Q351" s="22">
        <f t="shared" ref="Q351:Q357" si="20">MONTH(A351)</f>
        <v>8</v>
      </c>
      <c r="R351" s="58"/>
      <c r="S351" s="6" t="str">
        <f t="shared" si="18"/>
        <v>L</v>
      </c>
    </row>
    <row r="352" spans="1:19" ht="13.5" thickBot="1" x14ac:dyDescent="0.25">
      <c r="A352" s="4">
        <f>DATEVALUE(DataIn!A372)</f>
        <v>42963</v>
      </c>
      <c r="B352" s="5" t="str">
        <f>DataIn!B372</f>
        <v>POS 512967XXXXXX4422 ZES*UBER INDIA S POS DEBIT</v>
      </c>
      <c r="C352" s="5" t="str">
        <f>DataIn!C372</f>
        <v>0000722800128150</v>
      </c>
      <c r="D352" s="5" t="str">
        <f>DataIn!D372</f>
        <v>16/08/17</v>
      </c>
      <c r="E352" s="5">
        <f>DataIn!E372</f>
        <v>213.51</v>
      </c>
      <c r="F352" s="5">
        <f>DataIn!F372</f>
        <v>0</v>
      </c>
      <c r="G352" s="5">
        <f>DataIn!G372</f>
        <v>133608.19</v>
      </c>
      <c r="H352" s="6" t="b">
        <f>SUMPRODUCT(--ISNUMBER(SEARCH(CategoriesConfig!B$3:B$12,$B352)))&gt;0</f>
        <v>0</v>
      </c>
      <c r="I352" s="6" t="b">
        <f>SUMPRODUCT(--ISNUMBER(SEARCH(CategoriesConfig!C$3:C$12,$B352)))&gt;0</f>
        <v>1</v>
      </c>
      <c r="J352" s="6" t="b">
        <f>SUMPRODUCT(--ISNUMBER(SEARCH(CategoriesConfig!D$3:D$12,$B352)))&gt;0</f>
        <v>0</v>
      </c>
      <c r="K352" s="6" t="b">
        <f>SUMPRODUCT(--ISNUMBER(SEARCH(CategoriesConfig!E$3:E$12,$B352)))&gt;0</f>
        <v>0</v>
      </c>
      <c r="L352" s="6" t="b">
        <f>SUMPRODUCT(--ISNUMBER(SEARCH(CategoriesConfig!F$3:F$12,$B352)))&gt;0</f>
        <v>0</v>
      </c>
      <c r="M352" s="6" t="b">
        <f>SUMPRODUCT(--ISNUMBER(SEARCH(CategoriesConfig!G$3:G$12,$B352)))&gt;0</f>
        <v>0</v>
      </c>
      <c r="N352" s="6" t="b">
        <f>SUMPRODUCT(--ISNUMBER(SEARCH(CategoriesConfig!H$3:H$12,$B352)))&gt;0</f>
        <v>0</v>
      </c>
      <c r="O352" s="6" t="b">
        <f>SUMPRODUCT(--ISNUMBER(SEARCH(CategoriesConfig!I$3:I$12,$B352)))&gt;0</f>
        <v>0</v>
      </c>
      <c r="P352" s="22" t="b">
        <f t="shared" si="19"/>
        <v>0</v>
      </c>
      <c r="Q352" s="22">
        <f t="shared" si="20"/>
        <v>8</v>
      </c>
      <c r="R352" s="58"/>
      <c r="S352" s="6" t="str">
        <f t="shared" ref="S352:S357" si="21">IF(ISBLANK(R352),INDEX(H$2:P$917,1,SUMIF(H352:P352,"TRUE",H$1:P$1)),R352)</f>
        <v>U</v>
      </c>
    </row>
    <row r="353" spans="1:19" ht="13.5" thickBot="1" x14ac:dyDescent="0.25">
      <c r="A353" s="4">
        <f>DATEVALUE(DataIn!A373)</f>
        <v>42963</v>
      </c>
      <c r="B353" s="5" t="str">
        <f>DataIn!B373</f>
        <v>POS 512967XXXXXX4422 CITRUS PAY ACTTV POS DEBIT</v>
      </c>
      <c r="C353" s="5" t="str">
        <f>DataIn!C373</f>
        <v>0000722860248904</v>
      </c>
      <c r="D353" s="5" t="str">
        <f>DataIn!D373</f>
        <v>16/08/17</v>
      </c>
      <c r="E353" s="5">
        <f>DataIn!E373</f>
        <v>1355.82</v>
      </c>
      <c r="F353" s="5">
        <f>DataIn!F373</f>
        <v>0</v>
      </c>
      <c r="G353" s="5">
        <f>DataIn!G373</f>
        <v>132252.37</v>
      </c>
      <c r="H353" s="6" t="b">
        <f>SUMPRODUCT(--ISNUMBER(SEARCH(CategoriesConfig!B$3:B$12,$B353)))&gt;0</f>
        <v>0</v>
      </c>
      <c r="I353" s="6" t="b">
        <f>SUMPRODUCT(--ISNUMBER(SEARCH(CategoriesConfig!C$3:C$12,$B353)))&gt;0</f>
        <v>0</v>
      </c>
      <c r="J353" s="6" t="b">
        <f>SUMPRODUCT(--ISNUMBER(SEARCH(CategoriesConfig!D$3:D$12,$B353)))&gt;0</f>
        <v>0</v>
      </c>
      <c r="K353" s="6" t="b">
        <f>SUMPRODUCT(--ISNUMBER(SEARCH(CategoriesConfig!E$3:E$12,$B353)))&gt;0</f>
        <v>0</v>
      </c>
      <c r="L353" s="6" t="b">
        <f>SUMPRODUCT(--ISNUMBER(SEARCH(CategoriesConfig!F$3:F$12,$B353)))&gt;0</f>
        <v>0</v>
      </c>
      <c r="M353" s="6" t="b">
        <f>SUMPRODUCT(--ISNUMBER(SEARCH(CategoriesConfig!G$3:G$12,$B353)))&gt;0</f>
        <v>0</v>
      </c>
      <c r="N353" s="6" t="b">
        <f>SUMPRODUCT(--ISNUMBER(SEARCH(CategoriesConfig!H$3:H$12,$B353)))&gt;0</f>
        <v>0</v>
      </c>
      <c r="O353" s="6" t="b">
        <f>SUMPRODUCT(--ISNUMBER(SEARCH(CategoriesConfig!I$3:I$12,$B353)))&gt;0</f>
        <v>0</v>
      </c>
      <c r="P353" s="22" t="b">
        <f t="shared" si="19"/>
        <v>1</v>
      </c>
      <c r="Q353" s="22">
        <f t="shared" si="20"/>
        <v>8</v>
      </c>
      <c r="R353" s="58" t="s">
        <v>223</v>
      </c>
      <c r="S353" s="6" t="str">
        <f t="shared" si="21"/>
        <v>M</v>
      </c>
    </row>
    <row r="354" spans="1:19" ht="13.5" thickBot="1" x14ac:dyDescent="0.25">
      <c r="A354" s="4">
        <f>DATEVALUE(DataIn!A374)</f>
        <v>42963</v>
      </c>
      <c r="B354" s="5" t="str">
        <f>DataIn!B374</f>
        <v>POS 512967XXXXXX4422 HARIMA RESTAURAN POS DEBIT</v>
      </c>
      <c r="C354" s="5" t="str">
        <f>DataIn!C374</f>
        <v>0000000000011497</v>
      </c>
      <c r="D354" s="5" t="str">
        <f>DataIn!D374</f>
        <v>16/08/17</v>
      </c>
      <c r="E354" s="5">
        <f>DataIn!E374</f>
        <v>4609</v>
      </c>
      <c r="F354" s="5">
        <f>DataIn!F374</f>
        <v>0</v>
      </c>
      <c r="G354" s="5">
        <f>DataIn!G374</f>
        <v>127643.37</v>
      </c>
      <c r="H354" s="6" t="b">
        <f>SUMPRODUCT(--ISNUMBER(SEARCH(CategoriesConfig!B$3:B$12,$B354)))&gt;0</f>
        <v>0</v>
      </c>
      <c r="I354" s="6" t="b">
        <f>SUMPRODUCT(--ISNUMBER(SEARCH(CategoriesConfig!C$3:C$12,$B354)))&gt;0</f>
        <v>0</v>
      </c>
      <c r="J354" s="6" t="b">
        <f>SUMPRODUCT(--ISNUMBER(SEARCH(CategoriesConfig!D$3:D$12,$B354)))&gt;0</f>
        <v>0</v>
      </c>
      <c r="K354" s="6" t="b">
        <f>SUMPRODUCT(--ISNUMBER(SEARCH(CategoriesConfig!E$3:E$12,$B354)))&gt;0</f>
        <v>0</v>
      </c>
      <c r="L354" s="6" t="b">
        <f>SUMPRODUCT(--ISNUMBER(SEARCH(CategoriesConfig!F$3:F$12,$B354)))&gt;0</f>
        <v>0</v>
      </c>
      <c r="M354" s="6" t="b">
        <f>SUMPRODUCT(--ISNUMBER(SEARCH(CategoriesConfig!G$3:G$12,$B354)))&gt;0</f>
        <v>0</v>
      </c>
      <c r="N354" s="6" t="b">
        <f>SUMPRODUCT(--ISNUMBER(SEARCH(CategoriesConfig!H$3:H$12,$B354)))&gt;0</f>
        <v>0</v>
      </c>
      <c r="O354" s="6" t="b">
        <f>SUMPRODUCT(--ISNUMBER(SEARCH(CategoriesConfig!I$3:I$12,$B354)))&gt;0</f>
        <v>0</v>
      </c>
      <c r="P354" s="22" t="b">
        <f t="shared" si="19"/>
        <v>1</v>
      </c>
      <c r="Q354" s="22">
        <f t="shared" si="20"/>
        <v>8</v>
      </c>
      <c r="R354" s="58" t="s">
        <v>221</v>
      </c>
      <c r="S354" s="6" t="str">
        <f t="shared" si="21"/>
        <v>F</v>
      </c>
    </row>
    <row r="355" spans="1:19" ht="13.5" thickBot="1" x14ac:dyDescent="0.25">
      <c r="A355" s="4">
        <f>DATEVALUE(DataIn!A375)</f>
        <v>42964</v>
      </c>
      <c r="B355" s="5" t="str">
        <f>DataIn!B375</f>
        <v>POS 512967XXXXXX4422 ZES*UBER INDIA S POS DEBIT</v>
      </c>
      <c r="C355" s="5" t="str">
        <f>DataIn!C375</f>
        <v>0000722940047173</v>
      </c>
      <c r="D355" s="5" t="str">
        <f>DataIn!D375</f>
        <v>17/08/17</v>
      </c>
      <c r="E355" s="5">
        <f>DataIn!E375</f>
        <v>117.28</v>
      </c>
      <c r="F355" s="5">
        <f>DataIn!F375</f>
        <v>0</v>
      </c>
      <c r="G355" s="5">
        <f>DataIn!G375</f>
        <v>127526.09</v>
      </c>
      <c r="H355" s="6" t="b">
        <f>SUMPRODUCT(--ISNUMBER(SEARCH(CategoriesConfig!B$3:B$12,$B355)))&gt;0</f>
        <v>0</v>
      </c>
      <c r="I355" s="6" t="b">
        <f>SUMPRODUCT(--ISNUMBER(SEARCH(CategoriesConfig!C$3:C$12,$B355)))&gt;0</f>
        <v>1</v>
      </c>
      <c r="J355" s="6" t="b">
        <f>SUMPRODUCT(--ISNUMBER(SEARCH(CategoriesConfig!D$3:D$12,$B355)))&gt;0</f>
        <v>0</v>
      </c>
      <c r="K355" s="6" t="b">
        <f>SUMPRODUCT(--ISNUMBER(SEARCH(CategoriesConfig!E$3:E$12,$B355)))&gt;0</f>
        <v>0</v>
      </c>
      <c r="L355" s="6" t="b">
        <f>SUMPRODUCT(--ISNUMBER(SEARCH(CategoriesConfig!F$3:F$12,$B355)))&gt;0</f>
        <v>0</v>
      </c>
      <c r="M355" s="6" t="b">
        <f>SUMPRODUCT(--ISNUMBER(SEARCH(CategoriesConfig!G$3:G$12,$B355)))&gt;0</f>
        <v>0</v>
      </c>
      <c r="N355" s="6" t="b">
        <f>SUMPRODUCT(--ISNUMBER(SEARCH(CategoriesConfig!H$3:H$12,$B355)))&gt;0</f>
        <v>0</v>
      </c>
      <c r="O355" s="6" t="b">
        <f>SUMPRODUCT(--ISNUMBER(SEARCH(CategoriesConfig!I$3:I$12,$B355)))&gt;0</f>
        <v>0</v>
      </c>
      <c r="P355" s="22" t="b">
        <f t="shared" si="19"/>
        <v>0</v>
      </c>
      <c r="Q355" s="22">
        <f t="shared" si="20"/>
        <v>8</v>
      </c>
      <c r="R355" s="58"/>
      <c r="S355" s="6" t="str">
        <f t="shared" si="21"/>
        <v>U</v>
      </c>
    </row>
    <row r="356" spans="1:19" ht="13.5" thickBot="1" x14ac:dyDescent="0.25">
      <c r="A356" s="4">
        <f>DATEVALUE(DataIn!A376)</f>
        <v>42964</v>
      </c>
      <c r="B356" s="5" t="str">
        <f>DataIn!B376</f>
        <v>POS 512967XXXXXX4422 MC DONALDS. POS DEBIT</v>
      </c>
      <c r="C356" s="5" t="str">
        <f>DataIn!C376</f>
        <v>0000000000049655</v>
      </c>
      <c r="D356" s="5" t="str">
        <f>DataIn!D376</f>
        <v>17/08/17</v>
      </c>
      <c r="E356" s="5">
        <f>DataIn!E376</f>
        <v>412</v>
      </c>
      <c r="F356" s="5">
        <f>DataIn!F376</f>
        <v>0</v>
      </c>
      <c r="G356" s="5">
        <f>DataIn!G376</f>
        <v>127114.09</v>
      </c>
      <c r="H356" s="6" t="b">
        <f>SUMPRODUCT(--ISNUMBER(SEARCH(CategoriesConfig!B$3:B$12,$B356)))&gt;0</f>
        <v>0</v>
      </c>
      <c r="I356" s="6" t="b">
        <f>SUMPRODUCT(--ISNUMBER(SEARCH(CategoriesConfig!C$3:C$12,$B356)))&gt;0</f>
        <v>0</v>
      </c>
      <c r="J356" s="6" t="b">
        <f>SUMPRODUCT(--ISNUMBER(SEARCH(CategoriesConfig!D$3:D$12,$B356)))&gt;0</f>
        <v>0</v>
      </c>
      <c r="K356" s="6" t="b">
        <f>SUMPRODUCT(--ISNUMBER(SEARCH(CategoriesConfig!E$3:E$12,$B356)))&gt;0</f>
        <v>0</v>
      </c>
      <c r="L356" s="6" t="b">
        <f>SUMPRODUCT(--ISNUMBER(SEARCH(CategoriesConfig!F$3:F$12,$B356)))&gt;0</f>
        <v>1</v>
      </c>
      <c r="M356" s="6" t="b">
        <f>SUMPRODUCT(--ISNUMBER(SEARCH(CategoriesConfig!G$3:G$12,$B356)))&gt;0</f>
        <v>0</v>
      </c>
      <c r="N356" s="6" t="b">
        <f>SUMPRODUCT(--ISNUMBER(SEARCH(CategoriesConfig!H$3:H$12,$B356)))&gt;0</f>
        <v>0</v>
      </c>
      <c r="O356" s="6" t="b">
        <f>SUMPRODUCT(--ISNUMBER(SEARCH(CategoriesConfig!I$3:I$12,$B356)))&gt;0</f>
        <v>0</v>
      </c>
      <c r="P356" s="22" t="b">
        <f t="shared" si="19"/>
        <v>0</v>
      </c>
      <c r="Q356" s="22">
        <f t="shared" si="20"/>
        <v>8</v>
      </c>
      <c r="R356" s="58"/>
      <c r="S356" s="6" t="str">
        <f t="shared" si="21"/>
        <v>F</v>
      </c>
    </row>
    <row r="357" spans="1:19" ht="13.5" thickBot="1" x14ac:dyDescent="0.25">
      <c r="A357" s="4">
        <f>DATEVALUE(DataIn!A377)</f>
        <v>42964</v>
      </c>
      <c r="B357" s="5" t="str">
        <f>DataIn!B377</f>
        <v>POS 512967XXXXXX4422 ZES*UBER INDIA S POS DEBIT</v>
      </c>
      <c r="C357" s="5" t="str">
        <f>DataIn!C377</f>
        <v>0000722900129035</v>
      </c>
      <c r="D357" s="5" t="str">
        <f>DataIn!D377</f>
        <v>17/08/17</v>
      </c>
      <c r="E357" s="5">
        <f>DataIn!E377</f>
        <v>222.23</v>
      </c>
      <c r="F357" s="5">
        <f>DataIn!F377</f>
        <v>0</v>
      </c>
      <c r="G357" s="5">
        <f>DataIn!G377</f>
        <v>126891.86</v>
      </c>
      <c r="H357" s="6" t="b">
        <f>SUMPRODUCT(--ISNUMBER(SEARCH(CategoriesConfig!B$3:B$12,$B357)))&gt;0</f>
        <v>0</v>
      </c>
      <c r="I357" s="6" t="b">
        <f>SUMPRODUCT(--ISNUMBER(SEARCH(CategoriesConfig!C$3:C$12,$B357)))&gt;0</f>
        <v>1</v>
      </c>
      <c r="J357" s="6" t="b">
        <f>SUMPRODUCT(--ISNUMBER(SEARCH(CategoriesConfig!D$3:D$12,$B357)))&gt;0</f>
        <v>0</v>
      </c>
      <c r="K357" s="6" t="b">
        <f>SUMPRODUCT(--ISNUMBER(SEARCH(CategoriesConfig!E$3:E$12,$B357)))&gt;0</f>
        <v>0</v>
      </c>
      <c r="L357" s="6" t="b">
        <f>SUMPRODUCT(--ISNUMBER(SEARCH(CategoriesConfig!F$3:F$12,$B357)))&gt;0</f>
        <v>0</v>
      </c>
      <c r="M357" s="6" t="b">
        <f>SUMPRODUCT(--ISNUMBER(SEARCH(CategoriesConfig!G$3:G$12,$B357)))&gt;0</f>
        <v>0</v>
      </c>
      <c r="N357" s="6" t="b">
        <f>SUMPRODUCT(--ISNUMBER(SEARCH(CategoriesConfig!H$3:H$12,$B357)))&gt;0</f>
        <v>0</v>
      </c>
      <c r="O357" s="6" t="b">
        <f>SUMPRODUCT(--ISNUMBER(SEARCH(CategoriesConfig!I$3:I$12,$B357)))&gt;0</f>
        <v>0</v>
      </c>
      <c r="P357" s="22" t="b">
        <f t="shared" si="19"/>
        <v>0</v>
      </c>
      <c r="Q357" s="22">
        <f t="shared" si="20"/>
        <v>8</v>
      </c>
      <c r="R357" s="58"/>
      <c r="S357" s="6" t="str">
        <f t="shared" si="21"/>
        <v>U</v>
      </c>
    </row>
    <row r="358" spans="1:19" ht="13.5" thickBot="1" x14ac:dyDescent="0.25">
      <c r="A358" s="4">
        <f>DATEVALUE(DataIn!A378)</f>
        <v>42964</v>
      </c>
      <c r="B358" s="5" t="str">
        <f>DataIn!B378</f>
        <v>POS 512967XXXXXX4422 ZES*UBER INDIA S POS DEBIT</v>
      </c>
      <c r="C358" s="5" t="str">
        <f>DataIn!C378</f>
        <v>0000722960261749</v>
      </c>
      <c r="D358" s="5" t="str">
        <f>DataIn!D378</f>
        <v>17/08/17</v>
      </c>
      <c r="E358" s="5">
        <f>DataIn!E378</f>
        <v>198.67</v>
      </c>
      <c r="F358" s="5">
        <f>DataIn!F378</f>
        <v>0</v>
      </c>
      <c r="G358" s="5">
        <f>DataIn!G378</f>
        <v>126693.19</v>
      </c>
      <c r="H358" s="6" t="b">
        <f>SUMPRODUCT(--ISNUMBER(SEARCH(CategoriesConfig!B$3:B$12,$B358)))&gt;0</f>
        <v>0</v>
      </c>
      <c r="I358" s="6" t="b">
        <f>SUMPRODUCT(--ISNUMBER(SEARCH(CategoriesConfig!C$3:C$12,$B358)))&gt;0</f>
        <v>1</v>
      </c>
      <c r="J358" s="6" t="b">
        <f>SUMPRODUCT(--ISNUMBER(SEARCH(CategoriesConfig!D$3:D$12,$B358)))&gt;0</f>
        <v>0</v>
      </c>
      <c r="K358" s="6" t="b">
        <f>SUMPRODUCT(--ISNUMBER(SEARCH(CategoriesConfig!E$3:E$12,$B358)))&gt;0</f>
        <v>0</v>
      </c>
      <c r="L358" s="6" t="b">
        <f>SUMPRODUCT(--ISNUMBER(SEARCH(CategoriesConfig!F$3:F$12,$B358)))&gt;0</f>
        <v>0</v>
      </c>
      <c r="M358" s="6" t="b">
        <f>SUMPRODUCT(--ISNUMBER(SEARCH(CategoriesConfig!G$3:G$12,$B358)))&gt;0</f>
        <v>0</v>
      </c>
      <c r="N358" s="6" t="b">
        <f>SUMPRODUCT(--ISNUMBER(SEARCH(CategoriesConfig!H$3:H$12,$B358)))&gt;0</f>
        <v>0</v>
      </c>
      <c r="O358" s="6" t="b">
        <f>SUMPRODUCT(--ISNUMBER(SEARCH(CategoriesConfig!I$3:I$12,$B358)))&gt;0</f>
        <v>0</v>
      </c>
      <c r="P358" s="22" t="b">
        <f t="shared" ref="P358:P388" si="22">IF(SUMIF(H358:O358,"TRUE",H$1:O$1)=0,TRUE,FALSE)</f>
        <v>0</v>
      </c>
      <c r="Q358" s="22">
        <f t="shared" ref="Q358:Q388" si="23">MONTH(A358)</f>
        <v>8</v>
      </c>
      <c r="R358" s="58"/>
      <c r="S358" s="6" t="str">
        <f t="shared" ref="S358:S388" si="24">IF(ISBLANK(R358),INDEX(H$2:P$917,1,SUMIF(H358:P358,"TRUE",H$1:P$1)),R358)</f>
        <v>U</v>
      </c>
    </row>
    <row r="359" spans="1:19" ht="13.5" thickBot="1" x14ac:dyDescent="0.25">
      <c r="A359" s="4">
        <f>DATEVALUE(DataIn!A379)</f>
        <v>42964</v>
      </c>
      <c r="B359" s="5" t="str">
        <f>DataIn!B379</f>
        <v>POS 512967XXXXXX4422 BANGALORE BREW POS DEBIT</v>
      </c>
      <c r="C359" s="5" t="str">
        <f>DataIn!C379</f>
        <v>0000000000000383</v>
      </c>
      <c r="D359" s="5" t="str">
        <f>DataIn!D379</f>
        <v>17/08/17</v>
      </c>
      <c r="E359" s="5">
        <f>DataIn!E379</f>
        <v>3953</v>
      </c>
      <c r="F359" s="5">
        <f>DataIn!F379</f>
        <v>0</v>
      </c>
      <c r="G359" s="5">
        <f>DataIn!G379</f>
        <v>122740.19</v>
      </c>
      <c r="H359" s="6" t="b">
        <f>SUMPRODUCT(--ISNUMBER(SEARCH(CategoriesConfig!B$3:B$12,$B359)))&gt;0</f>
        <v>0</v>
      </c>
      <c r="I359" s="6" t="b">
        <f>SUMPRODUCT(--ISNUMBER(SEARCH(CategoriesConfig!C$3:C$12,$B359)))&gt;0</f>
        <v>0</v>
      </c>
      <c r="J359" s="6" t="b">
        <f>SUMPRODUCT(--ISNUMBER(SEARCH(CategoriesConfig!D$3:D$12,$B359)))&gt;0</f>
        <v>0</v>
      </c>
      <c r="K359" s="6" t="b">
        <f>SUMPRODUCT(--ISNUMBER(SEARCH(CategoriesConfig!E$3:E$12,$B359)))&gt;0</f>
        <v>0</v>
      </c>
      <c r="L359" s="6" t="b">
        <f>SUMPRODUCT(--ISNUMBER(SEARCH(CategoriesConfig!F$3:F$12,$B359)))&gt;0</f>
        <v>0</v>
      </c>
      <c r="M359" s="6" t="b">
        <f>SUMPRODUCT(--ISNUMBER(SEARCH(CategoriesConfig!G$3:G$12,$B359)))&gt;0</f>
        <v>0</v>
      </c>
      <c r="N359" s="6" t="b">
        <f>SUMPRODUCT(--ISNUMBER(SEARCH(CategoriesConfig!H$3:H$12,$B359)))&gt;0</f>
        <v>0</v>
      </c>
      <c r="O359" s="6" t="b">
        <f>SUMPRODUCT(--ISNUMBER(SEARCH(CategoriesConfig!I$3:I$12,$B359)))&gt;0</f>
        <v>0</v>
      </c>
      <c r="P359" s="22" t="b">
        <f t="shared" si="22"/>
        <v>1</v>
      </c>
      <c r="Q359" s="22">
        <f t="shared" si="23"/>
        <v>8</v>
      </c>
      <c r="R359" s="58" t="s">
        <v>221</v>
      </c>
      <c r="S359" s="6" t="str">
        <f t="shared" si="24"/>
        <v>F</v>
      </c>
    </row>
    <row r="360" spans="1:19" ht="13.5" thickBot="1" x14ac:dyDescent="0.25">
      <c r="A360" s="4">
        <f>DATEVALUE(DataIn!A380)</f>
        <v>42964</v>
      </c>
      <c r="B360" s="5" t="str">
        <f>DataIn!B380</f>
        <v>POS 512967XXXXXX4422 ZES*UBER INDIA S POS DEBIT</v>
      </c>
      <c r="C360" s="5" t="str">
        <f>DataIn!C380</f>
        <v>0000722940318028</v>
      </c>
      <c r="D360" s="5" t="str">
        <f>DataIn!D380</f>
        <v>18/08/17</v>
      </c>
      <c r="E360" s="5">
        <f>DataIn!E380</f>
        <v>52.5</v>
      </c>
      <c r="F360" s="5">
        <f>DataIn!F380</f>
        <v>0</v>
      </c>
      <c r="G360" s="5">
        <f>DataIn!G380</f>
        <v>122687.69</v>
      </c>
      <c r="H360" s="6" t="b">
        <f>SUMPRODUCT(--ISNUMBER(SEARCH(CategoriesConfig!B$3:B$12,$B360)))&gt;0</f>
        <v>0</v>
      </c>
      <c r="I360" s="6" t="b">
        <f>SUMPRODUCT(--ISNUMBER(SEARCH(CategoriesConfig!C$3:C$12,$B360)))&gt;0</f>
        <v>1</v>
      </c>
      <c r="J360" s="6" t="b">
        <f>SUMPRODUCT(--ISNUMBER(SEARCH(CategoriesConfig!D$3:D$12,$B360)))&gt;0</f>
        <v>0</v>
      </c>
      <c r="K360" s="6" t="b">
        <f>SUMPRODUCT(--ISNUMBER(SEARCH(CategoriesConfig!E$3:E$12,$B360)))&gt;0</f>
        <v>0</v>
      </c>
      <c r="L360" s="6" t="b">
        <f>SUMPRODUCT(--ISNUMBER(SEARCH(CategoriesConfig!F$3:F$12,$B360)))&gt;0</f>
        <v>0</v>
      </c>
      <c r="M360" s="6" t="b">
        <f>SUMPRODUCT(--ISNUMBER(SEARCH(CategoriesConfig!G$3:G$12,$B360)))&gt;0</f>
        <v>0</v>
      </c>
      <c r="N360" s="6" t="b">
        <f>SUMPRODUCT(--ISNUMBER(SEARCH(CategoriesConfig!H$3:H$12,$B360)))&gt;0</f>
        <v>0</v>
      </c>
      <c r="O360" s="6" t="b">
        <f>SUMPRODUCT(--ISNUMBER(SEARCH(CategoriesConfig!I$3:I$12,$B360)))&gt;0</f>
        <v>0</v>
      </c>
      <c r="P360" s="22" t="b">
        <f t="shared" si="22"/>
        <v>0</v>
      </c>
      <c r="Q360" s="22">
        <f t="shared" si="23"/>
        <v>8</v>
      </c>
      <c r="R360" s="58"/>
      <c r="S360" s="6" t="str">
        <f t="shared" si="24"/>
        <v>U</v>
      </c>
    </row>
    <row r="361" spans="1:19" ht="13.5" thickBot="1" x14ac:dyDescent="0.25">
      <c r="A361" s="4">
        <f>DATEVALUE(DataIn!A381)</f>
        <v>42965</v>
      </c>
      <c r="B361" s="5" t="str">
        <f>DataIn!B381</f>
        <v>NWD-512967XXXXXX4422-VD103802-BANGALORE</v>
      </c>
      <c r="C361" s="5" t="str">
        <f>DataIn!C381</f>
        <v>0000723012168119</v>
      </c>
      <c r="D361" s="5" t="str">
        <f>DataIn!D381</f>
        <v>18/08/17</v>
      </c>
      <c r="E361" s="5">
        <f>DataIn!E381</f>
        <v>10000</v>
      </c>
      <c r="F361" s="5">
        <f>DataIn!F381</f>
        <v>0</v>
      </c>
      <c r="G361" s="5">
        <f>DataIn!G381</f>
        <v>112687.69</v>
      </c>
      <c r="H361" s="6" t="b">
        <f>SUMPRODUCT(--ISNUMBER(SEARCH(CategoriesConfig!B$3:B$12,$B361)))&gt;0</f>
        <v>0</v>
      </c>
      <c r="I361" s="6" t="b">
        <f>SUMPRODUCT(--ISNUMBER(SEARCH(CategoriesConfig!C$3:C$12,$B361)))&gt;0</f>
        <v>0</v>
      </c>
      <c r="J361" s="6" t="b">
        <f>SUMPRODUCT(--ISNUMBER(SEARCH(CategoriesConfig!D$3:D$12,$B361)))&gt;0</f>
        <v>0</v>
      </c>
      <c r="K361" s="6" t="b">
        <f>SUMPRODUCT(--ISNUMBER(SEARCH(CategoriesConfig!E$3:E$12,$B361)))&gt;0</f>
        <v>0</v>
      </c>
      <c r="L361" s="6" t="b">
        <f>SUMPRODUCT(--ISNUMBER(SEARCH(CategoriesConfig!F$3:F$12,$B361)))&gt;0</f>
        <v>0</v>
      </c>
      <c r="M361" s="6" t="b">
        <f>SUMPRODUCT(--ISNUMBER(SEARCH(CategoriesConfig!G$3:G$12,$B361)))&gt;0</f>
        <v>0</v>
      </c>
      <c r="N361" s="6" t="b">
        <f>SUMPRODUCT(--ISNUMBER(SEARCH(CategoriesConfig!H$3:H$12,$B361)))&gt;0</f>
        <v>1</v>
      </c>
      <c r="O361" s="6" t="b">
        <f>SUMPRODUCT(--ISNUMBER(SEARCH(CategoriesConfig!I$3:I$12,$B361)))&gt;0</f>
        <v>0</v>
      </c>
      <c r="P361" s="22" t="b">
        <f t="shared" si="22"/>
        <v>0</v>
      </c>
      <c r="Q361" s="22">
        <f t="shared" si="23"/>
        <v>8</v>
      </c>
      <c r="R361" s="58"/>
      <c r="S361" s="6" t="str">
        <f t="shared" si="24"/>
        <v>C</v>
      </c>
    </row>
    <row r="362" spans="1:19" ht="13.5" thickBot="1" x14ac:dyDescent="0.25">
      <c r="A362" s="4">
        <f>DATEVALUE(DataIn!A382)</f>
        <v>42965</v>
      </c>
      <c r="B362" s="5" t="str">
        <f>DataIn!B382</f>
        <v>POS 512967XXXXXX4422 RICHMOND SUPER M POS DEBIT</v>
      </c>
      <c r="C362" s="5" t="str">
        <f>DataIn!C382</f>
        <v>0000000000620814</v>
      </c>
      <c r="D362" s="5" t="str">
        <f>DataIn!D382</f>
        <v>18/08/17</v>
      </c>
      <c r="E362" s="5">
        <f>DataIn!E382</f>
        <v>435</v>
      </c>
      <c r="F362" s="5">
        <f>DataIn!F382</f>
        <v>0</v>
      </c>
      <c r="G362" s="5">
        <f>DataIn!G382</f>
        <v>112252.69</v>
      </c>
      <c r="H362" s="6" t="b">
        <f>SUMPRODUCT(--ISNUMBER(SEARCH(CategoriesConfig!B$3:B$12,$B362)))&gt;0</f>
        <v>0</v>
      </c>
      <c r="I362" s="6" t="b">
        <f>SUMPRODUCT(--ISNUMBER(SEARCH(CategoriesConfig!C$3:C$12,$B362)))&gt;0</f>
        <v>0</v>
      </c>
      <c r="J362" s="6" t="b">
        <f>SUMPRODUCT(--ISNUMBER(SEARCH(CategoriesConfig!D$3:D$12,$B362)))&gt;0</f>
        <v>0</v>
      </c>
      <c r="K362" s="6" t="b">
        <f>SUMPRODUCT(--ISNUMBER(SEARCH(CategoriesConfig!E$3:E$12,$B362)))&gt;0</f>
        <v>0</v>
      </c>
      <c r="L362" s="6" t="b">
        <f>SUMPRODUCT(--ISNUMBER(SEARCH(CategoriesConfig!F$3:F$12,$B362)))&gt;0</f>
        <v>0</v>
      </c>
      <c r="M362" s="6" t="b">
        <f>SUMPRODUCT(--ISNUMBER(SEARCH(CategoriesConfig!G$3:G$12,$B362)))&gt;0</f>
        <v>0</v>
      </c>
      <c r="N362" s="6" t="b">
        <f>SUMPRODUCT(--ISNUMBER(SEARCH(CategoriesConfig!H$3:H$12,$B362)))&gt;0</f>
        <v>0</v>
      </c>
      <c r="O362" s="6" t="b">
        <f>SUMPRODUCT(--ISNUMBER(SEARCH(CategoriesConfig!I$3:I$12,$B362)))&gt;0</f>
        <v>0</v>
      </c>
      <c r="P362" s="22" t="b">
        <f t="shared" si="22"/>
        <v>1</v>
      </c>
      <c r="Q362" s="22">
        <f t="shared" si="23"/>
        <v>8</v>
      </c>
      <c r="R362" s="58"/>
      <c r="S362" s="6" t="s">
        <v>223</v>
      </c>
    </row>
    <row r="363" spans="1:19" ht="13.5" thickBot="1" x14ac:dyDescent="0.25">
      <c r="A363" s="4">
        <f>DATEVALUE(DataIn!A383)</f>
        <v>42965</v>
      </c>
      <c r="B363" s="5" t="str">
        <f>DataIn!B383</f>
        <v>POS 512967XXXXXX4422 ZES*INSTAMOJO TE POS DEBIT</v>
      </c>
      <c r="C363" s="5" t="str">
        <f>DataIn!C383</f>
        <v>0000723070134260</v>
      </c>
      <c r="D363" s="5" t="str">
        <f>DataIn!D383</f>
        <v>18/08/17</v>
      </c>
      <c r="E363" s="5">
        <f>DataIn!E383</f>
        <v>2127</v>
      </c>
      <c r="F363" s="5">
        <f>DataIn!F383</f>
        <v>0</v>
      </c>
      <c r="G363" s="5">
        <f>DataIn!G383</f>
        <v>110125.69</v>
      </c>
      <c r="H363" s="6" t="b">
        <f>SUMPRODUCT(--ISNUMBER(SEARCH(CategoriesConfig!B$3:B$12,$B363)))&gt;0</f>
        <v>0</v>
      </c>
      <c r="I363" s="6" t="b">
        <f>SUMPRODUCT(--ISNUMBER(SEARCH(CategoriesConfig!C$3:C$12,$B363)))&gt;0</f>
        <v>0</v>
      </c>
      <c r="J363" s="6" t="b">
        <f>SUMPRODUCT(--ISNUMBER(SEARCH(CategoriesConfig!D$3:D$12,$B363)))&gt;0</f>
        <v>0</v>
      </c>
      <c r="K363" s="6" t="b">
        <f>SUMPRODUCT(--ISNUMBER(SEARCH(CategoriesConfig!E$3:E$12,$B363)))&gt;0</f>
        <v>0</v>
      </c>
      <c r="L363" s="6" t="b">
        <f>SUMPRODUCT(--ISNUMBER(SEARCH(CategoriesConfig!F$3:F$12,$B363)))&gt;0</f>
        <v>0</v>
      </c>
      <c r="M363" s="6" t="b">
        <f>SUMPRODUCT(--ISNUMBER(SEARCH(CategoriesConfig!G$3:G$12,$B363)))&gt;0</f>
        <v>0</v>
      </c>
      <c r="N363" s="6" t="b">
        <f>SUMPRODUCT(--ISNUMBER(SEARCH(CategoriesConfig!H$3:H$12,$B363)))&gt;0</f>
        <v>0</v>
      </c>
      <c r="O363" s="6" t="b">
        <f>SUMPRODUCT(--ISNUMBER(SEARCH(CategoriesConfig!I$3:I$12,$B363)))&gt;0</f>
        <v>0</v>
      </c>
      <c r="P363" s="22" t="b">
        <f t="shared" si="22"/>
        <v>1</v>
      </c>
      <c r="Q363" s="22">
        <f t="shared" si="23"/>
        <v>8</v>
      </c>
      <c r="R363" s="58"/>
      <c r="S363" s="6" t="s">
        <v>223</v>
      </c>
    </row>
    <row r="364" spans="1:19" ht="13.5" thickBot="1" x14ac:dyDescent="0.25">
      <c r="A364" s="4">
        <f>DATEVALUE(DataIn!A384)</f>
        <v>42965</v>
      </c>
      <c r="B364" s="5" t="str">
        <f>DataIn!B384</f>
        <v>REF-CCADVTRA-CCAEH1AAY686-9/8/17</v>
      </c>
      <c r="C364" s="5" t="str">
        <f>DataIn!C384</f>
        <v>000000000000000</v>
      </c>
      <c r="D364" s="5" t="str">
        <f>DataIn!D384</f>
        <v>18/08/17</v>
      </c>
      <c r="E364" s="5">
        <f>DataIn!E384</f>
        <v>0</v>
      </c>
      <c r="F364" s="5">
        <f>DataIn!F384</f>
        <v>6623</v>
      </c>
      <c r="G364" s="5">
        <f>DataIn!G384</f>
        <v>116748.69</v>
      </c>
      <c r="H364" s="6" t="b">
        <f>SUMPRODUCT(--ISNUMBER(SEARCH(CategoriesConfig!B$3:B$12,$B364)))&gt;0</f>
        <v>0</v>
      </c>
      <c r="I364" s="6" t="b">
        <f>SUMPRODUCT(--ISNUMBER(SEARCH(CategoriesConfig!C$3:C$12,$B364)))&gt;0</f>
        <v>0</v>
      </c>
      <c r="J364" s="6" t="b">
        <f>SUMPRODUCT(--ISNUMBER(SEARCH(CategoriesConfig!D$3:D$12,$B364)))&gt;0</f>
        <v>0</v>
      </c>
      <c r="K364" s="6" t="b">
        <f>SUMPRODUCT(--ISNUMBER(SEARCH(CategoriesConfig!E$3:E$12,$B364)))&gt;0</f>
        <v>0</v>
      </c>
      <c r="L364" s="6" t="b">
        <f>SUMPRODUCT(--ISNUMBER(SEARCH(CategoriesConfig!F$3:F$12,$B364)))&gt;0</f>
        <v>0</v>
      </c>
      <c r="M364" s="6" t="b">
        <f>SUMPRODUCT(--ISNUMBER(SEARCH(CategoriesConfig!G$3:G$12,$B364)))&gt;0</f>
        <v>0</v>
      </c>
      <c r="N364" s="6" t="b">
        <f>SUMPRODUCT(--ISNUMBER(SEARCH(CategoriesConfig!H$3:H$12,$B364)))&gt;0</f>
        <v>0</v>
      </c>
      <c r="O364" s="6" t="b">
        <f>SUMPRODUCT(--ISNUMBER(SEARCH(CategoriesConfig!I$3:I$12,$B364)))&gt;0</f>
        <v>0</v>
      </c>
      <c r="P364" s="22" t="b">
        <f t="shared" si="22"/>
        <v>1</v>
      </c>
      <c r="Q364" s="22">
        <f t="shared" si="23"/>
        <v>8</v>
      </c>
      <c r="R364" s="58"/>
      <c r="S364" s="6" t="s">
        <v>225</v>
      </c>
    </row>
    <row r="365" spans="1:19" ht="13.5" thickBot="1" x14ac:dyDescent="0.25">
      <c r="A365" s="4">
        <f>DATEVALUE(DataIn!A385)</f>
        <v>42965</v>
      </c>
      <c r="B365" s="5" t="str">
        <f>DataIn!B385</f>
        <v>POS 512967XXXXXX4422 FOODWORLD POS DEBIT</v>
      </c>
      <c r="C365" s="5" t="str">
        <f>DataIn!C385</f>
        <v>0000000000018072</v>
      </c>
      <c r="D365" s="5" t="str">
        <f>DataIn!D385</f>
        <v>18/08/17</v>
      </c>
      <c r="E365" s="5">
        <f>DataIn!E385</f>
        <v>656</v>
      </c>
      <c r="F365" s="5">
        <f>DataIn!F385</f>
        <v>0</v>
      </c>
      <c r="G365" s="5">
        <f>DataIn!G385</f>
        <v>116092.69</v>
      </c>
      <c r="H365" s="6" t="b">
        <f>SUMPRODUCT(--ISNUMBER(SEARCH(CategoriesConfig!B$3:B$12,$B365)))&gt;0</f>
        <v>0</v>
      </c>
      <c r="I365" s="6" t="b">
        <f>SUMPRODUCT(--ISNUMBER(SEARCH(CategoriesConfig!C$3:C$12,$B365)))&gt;0</f>
        <v>0</v>
      </c>
      <c r="J365" s="6" t="b">
        <f>SUMPRODUCT(--ISNUMBER(SEARCH(CategoriesConfig!D$3:D$12,$B365)))&gt;0</f>
        <v>0</v>
      </c>
      <c r="K365" s="6" t="b">
        <f>SUMPRODUCT(--ISNUMBER(SEARCH(CategoriesConfig!E$3:E$12,$B365)))&gt;0</f>
        <v>0</v>
      </c>
      <c r="L365" s="6" t="b">
        <f>SUMPRODUCT(--ISNUMBER(SEARCH(CategoriesConfig!F$3:F$12,$B365)))&gt;0</f>
        <v>0</v>
      </c>
      <c r="M365" s="6" t="b">
        <f>SUMPRODUCT(--ISNUMBER(SEARCH(CategoriesConfig!G$3:G$12,$B365)))&gt;0</f>
        <v>0</v>
      </c>
      <c r="N365" s="6" t="b">
        <f>SUMPRODUCT(--ISNUMBER(SEARCH(CategoriesConfig!H$3:H$12,$B365)))&gt;0</f>
        <v>0</v>
      </c>
      <c r="O365" s="6" t="b">
        <f>SUMPRODUCT(--ISNUMBER(SEARCH(CategoriesConfig!I$3:I$12,$B365)))&gt;0</f>
        <v>0</v>
      </c>
      <c r="P365" s="22" t="b">
        <f t="shared" si="22"/>
        <v>1</v>
      </c>
      <c r="Q365" s="22">
        <f t="shared" si="23"/>
        <v>8</v>
      </c>
      <c r="R365" s="58"/>
      <c r="S365" s="6" t="s">
        <v>223</v>
      </c>
    </row>
    <row r="366" spans="1:19" ht="13.5" thickBot="1" x14ac:dyDescent="0.25">
      <c r="A366" s="4">
        <f>DATEVALUE(DataIn!A386)</f>
        <v>42965</v>
      </c>
      <c r="B366" s="5" t="str">
        <f>DataIn!B386</f>
        <v>POS 512967XXXXXX4422 NATURES POS DEBIT</v>
      </c>
      <c r="C366" s="5" t="str">
        <f>DataIn!C386</f>
        <v>0000000000008012</v>
      </c>
      <c r="D366" s="5" t="str">
        <f>DataIn!D386</f>
        <v>18/08/17</v>
      </c>
      <c r="E366" s="5">
        <f>DataIn!E386</f>
        <v>1186.04</v>
      </c>
      <c r="F366" s="5">
        <f>DataIn!F386</f>
        <v>0</v>
      </c>
      <c r="G366" s="5">
        <f>DataIn!G386</f>
        <v>114906.65</v>
      </c>
      <c r="H366" s="6" t="b">
        <f>SUMPRODUCT(--ISNUMBER(SEARCH(CategoriesConfig!B$3:B$12,$B366)))&gt;0</f>
        <v>0</v>
      </c>
      <c r="I366" s="6" t="b">
        <f>SUMPRODUCT(--ISNUMBER(SEARCH(CategoriesConfig!C$3:C$12,$B366)))&gt;0</f>
        <v>0</v>
      </c>
      <c r="J366" s="6" t="b">
        <f>SUMPRODUCT(--ISNUMBER(SEARCH(CategoriesConfig!D$3:D$12,$B366)))&gt;0</f>
        <v>0</v>
      </c>
      <c r="K366" s="6" t="b">
        <f>SUMPRODUCT(--ISNUMBER(SEARCH(CategoriesConfig!E$3:E$12,$B366)))&gt;0</f>
        <v>0</v>
      </c>
      <c r="L366" s="6" t="b">
        <f>SUMPRODUCT(--ISNUMBER(SEARCH(CategoriesConfig!F$3:F$12,$B366)))&gt;0</f>
        <v>0</v>
      </c>
      <c r="M366" s="6" t="b">
        <f>SUMPRODUCT(--ISNUMBER(SEARCH(CategoriesConfig!G$3:G$12,$B366)))&gt;0</f>
        <v>1</v>
      </c>
      <c r="N366" s="6" t="b">
        <f>SUMPRODUCT(--ISNUMBER(SEARCH(CategoriesConfig!H$3:H$12,$B366)))&gt;0</f>
        <v>0</v>
      </c>
      <c r="O366" s="6" t="b">
        <f>SUMPRODUCT(--ISNUMBER(SEARCH(CategoriesConfig!I$3:I$12,$B366)))&gt;0</f>
        <v>0</v>
      </c>
      <c r="P366" s="22" t="b">
        <f t="shared" si="22"/>
        <v>0</v>
      </c>
      <c r="Q366" s="22">
        <f t="shared" si="23"/>
        <v>8</v>
      </c>
      <c r="R366" s="58"/>
      <c r="S366" s="6" t="str">
        <f t="shared" si="24"/>
        <v>M</v>
      </c>
    </row>
    <row r="367" spans="1:19" ht="13.5" thickBot="1" x14ac:dyDescent="0.25">
      <c r="A367" s="4">
        <f>DATEVALUE(DataIn!A387)</f>
        <v>42966</v>
      </c>
      <c r="B367" s="5" t="str">
        <f>DataIn!B387</f>
        <v>NWD-512967XXXXXX4422-08887407-BANGALORE</v>
      </c>
      <c r="C367" s="5" t="str">
        <f>DataIn!C387</f>
        <v>0000723112002401</v>
      </c>
      <c r="D367" s="5" t="str">
        <f>DataIn!D387</f>
        <v>19/08/17</v>
      </c>
      <c r="E367" s="5">
        <f>DataIn!E387</f>
        <v>8000</v>
      </c>
      <c r="F367" s="5">
        <f>DataIn!F387</f>
        <v>0</v>
      </c>
      <c r="G367" s="5">
        <f>DataIn!G387</f>
        <v>106906.65</v>
      </c>
      <c r="H367" s="6" t="b">
        <f>SUMPRODUCT(--ISNUMBER(SEARCH(CategoriesConfig!B$3:B$12,$B367)))&gt;0</f>
        <v>0</v>
      </c>
      <c r="I367" s="6" t="b">
        <f>SUMPRODUCT(--ISNUMBER(SEARCH(CategoriesConfig!C$3:C$12,$B367)))&gt;0</f>
        <v>0</v>
      </c>
      <c r="J367" s="6" t="b">
        <f>SUMPRODUCT(--ISNUMBER(SEARCH(CategoriesConfig!D$3:D$12,$B367)))&gt;0</f>
        <v>0</v>
      </c>
      <c r="K367" s="6" t="b">
        <f>SUMPRODUCT(--ISNUMBER(SEARCH(CategoriesConfig!E$3:E$12,$B367)))&gt;0</f>
        <v>0</v>
      </c>
      <c r="L367" s="6" t="b">
        <f>SUMPRODUCT(--ISNUMBER(SEARCH(CategoriesConfig!F$3:F$12,$B367)))&gt;0</f>
        <v>0</v>
      </c>
      <c r="M367" s="6" t="b">
        <f>SUMPRODUCT(--ISNUMBER(SEARCH(CategoriesConfig!G$3:G$12,$B367)))&gt;0</f>
        <v>0</v>
      </c>
      <c r="N367" s="6" t="b">
        <f>SUMPRODUCT(--ISNUMBER(SEARCH(CategoriesConfig!H$3:H$12,$B367)))&gt;0</f>
        <v>1</v>
      </c>
      <c r="O367" s="6" t="b">
        <f>SUMPRODUCT(--ISNUMBER(SEARCH(CategoriesConfig!I$3:I$12,$B367)))&gt;0</f>
        <v>0</v>
      </c>
      <c r="P367" s="22" t="b">
        <f t="shared" si="22"/>
        <v>0</v>
      </c>
      <c r="Q367" s="22">
        <f t="shared" si="23"/>
        <v>8</v>
      </c>
      <c r="R367" s="58"/>
      <c r="S367" s="6" t="str">
        <f t="shared" si="24"/>
        <v>C</v>
      </c>
    </row>
    <row r="368" spans="1:19" ht="13.5" thickBot="1" x14ac:dyDescent="0.25">
      <c r="A368" s="4">
        <f>DATEVALUE(DataIn!A388)</f>
        <v>42966</v>
      </c>
      <c r="B368" s="5" t="str">
        <f>DataIn!B388</f>
        <v>POS 512967XXXXXX4422 EVENTSHIGH_PAYTM POS DEBIT</v>
      </c>
      <c r="C368" s="5" t="str">
        <f>DataIn!C388</f>
        <v>0000000000086227</v>
      </c>
      <c r="D368" s="5" t="str">
        <f>DataIn!D388</f>
        <v>19/08/17</v>
      </c>
      <c r="E368" s="5">
        <f>DataIn!E388</f>
        <v>990</v>
      </c>
      <c r="F368" s="5">
        <f>DataIn!F388</f>
        <v>0</v>
      </c>
      <c r="G368" s="5">
        <f>DataIn!G388</f>
        <v>105916.65</v>
      </c>
      <c r="H368" s="6" t="b">
        <f>SUMPRODUCT(--ISNUMBER(SEARCH(CategoriesConfig!B$3:B$12,$B368)))&gt;0</f>
        <v>0</v>
      </c>
      <c r="I368" s="6" t="b">
        <f>SUMPRODUCT(--ISNUMBER(SEARCH(CategoriesConfig!C$3:C$12,$B368)))&gt;0</f>
        <v>0</v>
      </c>
      <c r="J368" s="6" t="b">
        <f>SUMPRODUCT(--ISNUMBER(SEARCH(CategoriesConfig!D$3:D$12,$B368)))&gt;0</f>
        <v>0</v>
      </c>
      <c r="K368" s="6" t="b">
        <f>SUMPRODUCT(--ISNUMBER(SEARCH(CategoriesConfig!E$3:E$12,$B368)))&gt;0</f>
        <v>0</v>
      </c>
      <c r="L368" s="6" t="b">
        <f>SUMPRODUCT(--ISNUMBER(SEARCH(CategoriesConfig!F$3:F$12,$B368)))&gt;0</f>
        <v>0</v>
      </c>
      <c r="M368" s="6" t="b">
        <f>SUMPRODUCT(--ISNUMBER(SEARCH(CategoriesConfig!G$3:G$12,$B368)))&gt;0</f>
        <v>0</v>
      </c>
      <c r="N368" s="6" t="b">
        <f>SUMPRODUCT(--ISNUMBER(SEARCH(CategoriesConfig!H$3:H$12,$B368)))&gt;0</f>
        <v>0</v>
      </c>
      <c r="O368" s="6" t="b">
        <f>SUMPRODUCT(--ISNUMBER(SEARCH(CategoriesConfig!I$3:I$12,$B368)))&gt;0</f>
        <v>0</v>
      </c>
      <c r="P368" s="22" t="b">
        <f t="shared" si="22"/>
        <v>1</v>
      </c>
      <c r="Q368" s="22">
        <f t="shared" si="23"/>
        <v>8</v>
      </c>
      <c r="R368" s="58"/>
      <c r="S368" s="6" t="s">
        <v>223</v>
      </c>
    </row>
    <row r="369" spans="1:19" ht="13.5" thickBot="1" x14ac:dyDescent="0.25">
      <c r="A369" s="4">
        <f>DATEVALUE(DataIn!A389)</f>
        <v>42966</v>
      </c>
      <c r="B369" s="5" t="str">
        <f>DataIn!B389</f>
        <v>POS 512967XXXXXX4422 PAYU-WWW.SWIGGY. POS DEBIT</v>
      </c>
      <c r="C369" s="5" t="str">
        <f>DataIn!C389</f>
        <v>0000020025545436</v>
      </c>
      <c r="D369" s="5" t="str">
        <f>DataIn!D389</f>
        <v>19/08/17</v>
      </c>
      <c r="E369" s="5">
        <f>DataIn!E389</f>
        <v>741</v>
      </c>
      <c r="F369" s="5">
        <f>DataIn!F389</f>
        <v>0</v>
      </c>
      <c r="G369" s="5">
        <f>DataIn!G389</f>
        <v>105175.65</v>
      </c>
      <c r="H369" s="6" t="b">
        <f>SUMPRODUCT(--ISNUMBER(SEARCH(CategoriesConfig!B$3:B$12,$B369)))&gt;0</f>
        <v>0</v>
      </c>
      <c r="I369" s="6" t="b">
        <f>SUMPRODUCT(--ISNUMBER(SEARCH(CategoriesConfig!C$3:C$12,$B369)))&gt;0</f>
        <v>0</v>
      </c>
      <c r="J369" s="6" t="b">
        <f>SUMPRODUCT(--ISNUMBER(SEARCH(CategoriesConfig!D$3:D$12,$B369)))&gt;0</f>
        <v>0</v>
      </c>
      <c r="K369" s="6" t="b">
        <f>SUMPRODUCT(--ISNUMBER(SEARCH(CategoriesConfig!E$3:E$12,$B369)))&gt;0</f>
        <v>0</v>
      </c>
      <c r="L369" s="6" t="b">
        <f>SUMPRODUCT(--ISNUMBER(SEARCH(CategoriesConfig!F$3:F$12,$B369)))&gt;0</f>
        <v>1</v>
      </c>
      <c r="M369" s="6" t="b">
        <f>SUMPRODUCT(--ISNUMBER(SEARCH(CategoriesConfig!G$3:G$12,$B369)))&gt;0</f>
        <v>0</v>
      </c>
      <c r="N369" s="6" t="b">
        <f>SUMPRODUCT(--ISNUMBER(SEARCH(CategoriesConfig!H$3:H$12,$B369)))&gt;0</f>
        <v>0</v>
      </c>
      <c r="O369" s="6" t="b">
        <f>SUMPRODUCT(--ISNUMBER(SEARCH(CategoriesConfig!I$3:I$12,$B369)))&gt;0</f>
        <v>0</v>
      </c>
      <c r="P369" s="22" t="b">
        <f t="shared" si="22"/>
        <v>0</v>
      </c>
      <c r="Q369" s="22">
        <f t="shared" si="23"/>
        <v>8</v>
      </c>
      <c r="R369" s="58"/>
      <c r="S369" s="6" t="str">
        <f t="shared" si="24"/>
        <v>F</v>
      </c>
    </row>
    <row r="370" spans="1:19" ht="13.5" thickBot="1" x14ac:dyDescent="0.25">
      <c r="A370" s="4">
        <f>DATEVALUE(DataIn!A390)</f>
        <v>42967</v>
      </c>
      <c r="B370" s="5" t="str">
        <f>DataIn!B390</f>
        <v>POS 512967XXXXXX4422 ZES*UBER INDIA S POS DEBIT</v>
      </c>
      <c r="C370" s="5" t="str">
        <f>DataIn!C390</f>
        <v>0000723200005423</v>
      </c>
      <c r="D370" s="5" t="str">
        <f>DataIn!D390</f>
        <v>20/08/17</v>
      </c>
      <c r="E370" s="5">
        <f>DataIn!E390</f>
        <v>71.84</v>
      </c>
      <c r="F370" s="5">
        <f>DataIn!F390</f>
        <v>0</v>
      </c>
      <c r="G370" s="5">
        <f>DataIn!G390</f>
        <v>105103.81</v>
      </c>
      <c r="H370" s="6" t="b">
        <f>SUMPRODUCT(--ISNUMBER(SEARCH(CategoriesConfig!B$3:B$12,$B370)))&gt;0</f>
        <v>0</v>
      </c>
      <c r="I370" s="6" t="b">
        <f>SUMPRODUCT(--ISNUMBER(SEARCH(CategoriesConfig!C$3:C$12,$B370)))&gt;0</f>
        <v>1</v>
      </c>
      <c r="J370" s="6" t="b">
        <f>SUMPRODUCT(--ISNUMBER(SEARCH(CategoriesConfig!D$3:D$12,$B370)))&gt;0</f>
        <v>0</v>
      </c>
      <c r="K370" s="6" t="b">
        <f>SUMPRODUCT(--ISNUMBER(SEARCH(CategoriesConfig!E$3:E$12,$B370)))&gt;0</f>
        <v>0</v>
      </c>
      <c r="L370" s="6" t="b">
        <f>SUMPRODUCT(--ISNUMBER(SEARCH(CategoriesConfig!F$3:F$12,$B370)))&gt;0</f>
        <v>0</v>
      </c>
      <c r="M370" s="6" t="b">
        <f>SUMPRODUCT(--ISNUMBER(SEARCH(CategoriesConfig!G$3:G$12,$B370)))&gt;0</f>
        <v>0</v>
      </c>
      <c r="N370" s="6" t="b">
        <f>SUMPRODUCT(--ISNUMBER(SEARCH(CategoriesConfig!H$3:H$12,$B370)))&gt;0</f>
        <v>0</v>
      </c>
      <c r="O370" s="6" t="b">
        <f>SUMPRODUCT(--ISNUMBER(SEARCH(CategoriesConfig!I$3:I$12,$B370)))&gt;0</f>
        <v>0</v>
      </c>
      <c r="P370" s="22" t="b">
        <f t="shared" si="22"/>
        <v>0</v>
      </c>
      <c r="Q370" s="22">
        <f t="shared" si="23"/>
        <v>8</v>
      </c>
      <c r="R370" s="58"/>
      <c r="S370" s="6" t="str">
        <f t="shared" si="24"/>
        <v>U</v>
      </c>
    </row>
    <row r="371" spans="1:19" ht="13.5" thickBot="1" x14ac:dyDescent="0.25">
      <c r="A371" s="4">
        <f>DATEVALUE(DataIn!A391)</f>
        <v>42967</v>
      </c>
      <c r="B371" s="5" t="str">
        <f>DataIn!B391</f>
        <v>POS 512967XXXXXX4422 PAYU-WWW.SWIGGY. POS DEBIT</v>
      </c>
      <c r="C371" s="5" t="str">
        <f>DataIn!C391</f>
        <v>0000030011996731</v>
      </c>
      <c r="D371" s="5" t="str">
        <f>DataIn!D391</f>
        <v>20/08/17</v>
      </c>
      <c r="E371" s="5">
        <f>DataIn!E391</f>
        <v>1252</v>
      </c>
      <c r="F371" s="5">
        <f>DataIn!F391</f>
        <v>0</v>
      </c>
      <c r="G371" s="5">
        <f>DataIn!G391</f>
        <v>103851.81</v>
      </c>
      <c r="H371" s="6" t="b">
        <f>SUMPRODUCT(--ISNUMBER(SEARCH(CategoriesConfig!B$3:B$12,$B371)))&gt;0</f>
        <v>0</v>
      </c>
      <c r="I371" s="6" t="b">
        <f>SUMPRODUCT(--ISNUMBER(SEARCH(CategoriesConfig!C$3:C$12,$B371)))&gt;0</f>
        <v>0</v>
      </c>
      <c r="J371" s="6" t="b">
        <f>SUMPRODUCT(--ISNUMBER(SEARCH(CategoriesConfig!D$3:D$12,$B371)))&gt;0</f>
        <v>0</v>
      </c>
      <c r="K371" s="6" t="b">
        <f>SUMPRODUCT(--ISNUMBER(SEARCH(CategoriesConfig!E$3:E$12,$B371)))&gt;0</f>
        <v>0</v>
      </c>
      <c r="L371" s="6" t="b">
        <f>SUMPRODUCT(--ISNUMBER(SEARCH(CategoriesConfig!F$3:F$12,$B371)))&gt;0</f>
        <v>1</v>
      </c>
      <c r="M371" s="6" t="b">
        <f>SUMPRODUCT(--ISNUMBER(SEARCH(CategoriesConfig!G$3:G$12,$B371)))&gt;0</f>
        <v>0</v>
      </c>
      <c r="N371" s="6" t="b">
        <f>SUMPRODUCT(--ISNUMBER(SEARCH(CategoriesConfig!H$3:H$12,$B371)))&gt;0</f>
        <v>0</v>
      </c>
      <c r="O371" s="6" t="b">
        <f>SUMPRODUCT(--ISNUMBER(SEARCH(CategoriesConfig!I$3:I$12,$B371)))&gt;0</f>
        <v>0</v>
      </c>
      <c r="P371" s="22" t="b">
        <f t="shared" si="22"/>
        <v>0</v>
      </c>
      <c r="Q371" s="22">
        <f t="shared" si="23"/>
        <v>8</v>
      </c>
      <c r="R371" s="58"/>
      <c r="S371" s="6" t="str">
        <f t="shared" si="24"/>
        <v>F</v>
      </c>
    </row>
    <row r="372" spans="1:19" ht="13.5" thickBot="1" x14ac:dyDescent="0.25">
      <c r="A372" s="4">
        <f>DATEVALUE(DataIn!A392)</f>
        <v>42967</v>
      </c>
      <c r="B372" s="5" t="str">
        <f>DataIn!B392</f>
        <v>POS 512967XXXXXX4422 ZES*UBER INDIA S POS DEBIT</v>
      </c>
      <c r="C372" s="5" t="str">
        <f>DataIn!C392</f>
        <v>0000723260173630</v>
      </c>
      <c r="D372" s="5" t="str">
        <f>DataIn!D392</f>
        <v>20/08/17</v>
      </c>
      <c r="E372" s="5">
        <f>DataIn!E392</f>
        <v>72.87</v>
      </c>
      <c r="F372" s="5">
        <f>DataIn!F392</f>
        <v>0</v>
      </c>
      <c r="G372" s="5">
        <f>DataIn!G392</f>
        <v>103778.94</v>
      </c>
      <c r="H372" s="6" t="b">
        <f>SUMPRODUCT(--ISNUMBER(SEARCH(CategoriesConfig!B$3:B$12,$B372)))&gt;0</f>
        <v>0</v>
      </c>
      <c r="I372" s="6" t="b">
        <f>SUMPRODUCT(--ISNUMBER(SEARCH(CategoriesConfig!C$3:C$12,$B372)))&gt;0</f>
        <v>1</v>
      </c>
      <c r="J372" s="6" t="b">
        <f>SUMPRODUCT(--ISNUMBER(SEARCH(CategoriesConfig!D$3:D$12,$B372)))&gt;0</f>
        <v>0</v>
      </c>
      <c r="K372" s="6" t="b">
        <f>SUMPRODUCT(--ISNUMBER(SEARCH(CategoriesConfig!E$3:E$12,$B372)))&gt;0</f>
        <v>0</v>
      </c>
      <c r="L372" s="6" t="b">
        <f>SUMPRODUCT(--ISNUMBER(SEARCH(CategoriesConfig!F$3:F$12,$B372)))&gt;0</f>
        <v>0</v>
      </c>
      <c r="M372" s="6" t="b">
        <f>SUMPRODUCT(--ISNUMBER(SEARCH(CategoriesConfig!G$3:G$12,$B372)))&gt;0</f>
        <v>0</v>
      </c>
      <c r="N372" s="6" t="b">
        <f>SUMPRODUCT(--ISNUMBER(SEARCH(CategoriesConfig!H$3:H$12,$B372)))&gt;0</f>
        <v>0</v>
      </c>
      <c r="O372" s="6" t="b">
        <f>SUMPRODUCT(--ISNUMBER(SEARCH(CategoriesConfig!I$3:I$12,$B372)))&gt;0</f>
        <v>0</v>
      </c>
      <c r="P372" s="22" t="b">
        <f t="shared" si="22"/>
        <v>0</v>
      </c>
      <c r="Q372" s="22">
        <f t="shared" si="23"/>
        <v>8</v>
      </c>
      <c r="R372" s="58"/>
      <c r="S372" s="6" t="str">
        <f t="shared" si="24"/>
        <v>U</v>
      </c>
    </row>
    <row r="373" spans="1:19" ht="13.5" thickBot="1" x14ac:dyDescent="0.25">
      <c r="A373" s="4">
        <f>DATEVALUE(DataIn!A393)</f>
        <v>42967</v>
      </c>
      <c r="B373" s="5" t="str">
        <f>DataIn!B393</f>
        <v>POS 512967XXXXXX4422 PLAN B POS DEBIT</v>
      </c>
      <c r="C373" s="5" t="str">
        <f>DataIn!C393</f>
        <v>0000000000250672</v>
      </c>
      <c r="D373" s="5" t="str">
        <f>DataIn!D393</f>
        <v>21/08/17</v>
      </c>
      <c r="E373" s="5">
        <f>DataIn!E393</f>
        <v>2096</v>
      </c>
      <c r="F373" s="5">
        <f>DataIn!F393</f>
        <v>0</v>
      </c>
      <c r="G373" s="5">
        <f>DataIn!G393</f>
        <v>101682.94</v>
      </c>
      <c r="H373" s="6" t="b">
        <f>SUMPRODUCT(--ISNUMBER(SEARCH(CategoriesConfig!B$3:B$12,$B373)))&gt;0</f>
        <v>0</v>
      </c>
      <c r="I373" s="6" t="b">
        <f>SUMPRODUCT(--ISNUMBER(SEARCH(CategoriesConfig!C$3:C$12,$B373)))&gt;0</f>
        <v>0</v>
      </c>
      <c r="J373" s="6" t="b">
        <f>SUMPRODUCT(--ISNUMBER(SEARCH(CategoriesConfig!D$3:D$12,$B373)))&gt;0</f>
        <v>0</v>
      </c>
      <c r="K373" s="6" t="b">
        <f>SUMPRODUCT(--ISNUMBER(SEARCH(CategoriesConfig!E$3:E$12,$B373)))&gt;0</f>
        <v>0</v>
      </c>
      <c r="L373" s="6" t="b">
        <f>SUMPRODUCT(--ISNUMBER(SEARCH(CategoriesConfig!F$3:F$12,$B373)))&gt;0</f>
        <v>1</v>
      </c>
      <c r="M373" s="6" t="b">
        <f>SUMPRODUCT(--ISNUMBER(SEARCH(CategoriesConfig!G$3:G$12,$B373)))&gt;0</f>
        <v>0</v>
      </c>
      <c r="N373" s="6" t="b">
        <f>SUMPRODUCT(--ISNUMBER(SEARCH(CategoriesConfig!H$3:H$12,$B373)))&gt;0</f>
        <v>0</v>
      </c>
      <c r="O373" s="6" t="b">
        <f>SUMPRODUCT(--ISNUMBER(SEARCH(CategoriesConfig!I$3:I$12,$B373)))&gt;0</f>
        <v>0</v>
      </c>
      <c r="P373" s="22" t="b">
        <f t="shared" si="22"/>
        <v>0</v>
      </c>
      <c r="Q373" s="22">
        <f t="shared" si="23"/>
        <v>8</v>
      </c>
      <c r="R373" s="58"/>
      <c r="S373" s="6" t="str">
        <f t="shared" si="24"/>
        <v>F</v>
      </c>
    </row>
    <row r="374" spans="1:19" ht="13.5" thickBot="1" x14ac:dyDescent="0.25">
      <c r="A374" s="4">
        <f>DATEVALUE(DataIn!A394)</f>
        <v>42967</v>
      </c>
      <c r="B374" s="5" t="str">
        <f>DataIn!B394</f>
        <v>POS 512967XXXXXX4422 PAYU-WWW.SWIGGY. POS DEBIT</v>
      </c>
      <c r="C374" s="5" t="str">
        <f>DataIn!C394</f>
        <v>0000010025621003</v>
      </c>
      <c r="D374" s="5" t="str">
        <f>DataIn!D394</f>
        <v>21/08/17</v>
      </c>
      <c r="E374" s="5">
        <f>DataIn!E394</f>
        <v>565</v>
      </c>
      <c r="F374" s="5">
        <f>DataIn!F394</f>
        <v>0</v>
      </c>
      <c r="G374" s="5">
        <f>DataIn!G394</f>
        <v>101117.94</v>
      </c>
      <c r="H374" s="6" t="b">
        <f>SUMPRODUCT(--ISNUMBER(SEARCH(CategoriesConfig!B$3:B$12,$B374)))&gt;0</f>
        <v>0</v>
      </c>
      <c r="I374" s="6" t="b">
        <f>SUMPRODUCT(--ISNUMBER(SEARCH(CategoriesConfig!C$3:C$12,$B374)))&gt;0</f>
        <v>0</v>
      </c>
      <c r="J374" s="6" t="b">
        <f>SUMPRODUCT(--ISNUMBER(SEARCH(CategoriesConfig!D$3:D$12,$B374)))&gt;0</f>
        <v>0</v>
      </c>
      <c r="K374" s="6" t="b">
        <f>SUMPRODUCT(--ISNUMBER(SEARCH(CategoriesConfig!E$3:E$12,$B374)))&gt;0</f>
        <v>0</v>
      </c>
      <c r="L374" s="6" t="b">
        <f>SUMPRODUCT(--ISNUMBER(SEARCH(CategoriesConfig!F$3:F$12,$B374)))&gt;0</f>
        <v>1</v>
      </c>
      <c r="M374" s="6" t="b">
        <f>SUMPRODUCT(--ISNUMBER(SEARCH(CategoriesConfig!G$3:G$12,$B374)))&gt;0</f>
        <v>0</v>
      </c>
      <c r="N374" s="6" t="b">
        <f>SUMPRODUCT(--ISNUMBER(SEARCH(CategoriesConfig!H$3:H$12,$B374)))&gt;0</f>
        <v>0</v>
      </c>
      <c r="O374" s="6" t="b">
        <f>SUMPRODUCT(--ISNUMBER(SEARCH(CategoriesConfig!I$3:I$12,$B374)))&gt;0</f>
        <v>0</v>
      </c>
      <c r="P374" s="22" t="b">
        <f t="shared" si="22"/>
        <v>0</v>
      </c>
      <c r="Q374" s="22">
        <f t="shared" si="23"/>
        <v>8</v>
      </c>
      <c r="R374" s="58"/>
      <c r="S374" s="6" t="str">
        <f t="shared" si="24"/>
        <v>F</v>
      </c>
    </row>
    <row r="375" spans="1:19" ht="13.5" thickBot="1" x14ac:dyDescent="0.25">
      <c r="A375" s="4">
        <f>DATEVALUE(DataIn!A395)</f>
        <v>42968</v>
      </c>
      <c r="B375" s="5" t="str">
        <f>DataIn!B395</f>
        <v>POS 512967XXXXXX4422 CAFE COFFEE DAY POS DEBIT</v>
      </c>
      <c r="C375" s="5" t="str">
        <f>DataIn!C395</f>
        <v>0000000000580087</v>
      </c>
      <c r="D375" s="5" t="str">
        <f>DataIn!D395</f>
        <v>21/08/17</v>
      </c>
      <c r="E375" s="5">
        <f>DataIn!E395</f>
        <v>325</v>
      </c>
      <c r="F375" s="5">
        <f>DataIn!F395</f>
        <v>0</v>
      </c>
      <c r="G375" s="5">
        <f>DataIn!G395</f>
        <v>100792.94</v>
      </c>
      <c r="H375" s="6" t="b">
        <f>SUMPRODUCT(--ISNUMBER(SEARCH(CategoriesConfig!B$3:B$12,$B375)))&gt;0</f>
        <v>0</v>
      </c>
      <c r="I375" s="6" t="b">
        <f>SUMPRODUCT(--ISNUMBER(SEARCH(CategoriesConfig!C$3:C$12,$B375)))&gt;0</f>
        <v>0</v>
      </c>
      <c r="J375" s="6" t="b">
        <f>SUMPRODUCT(--ISNUMBER(SEARCH(CategoriesConfig!D$3:D$12,$B375)))&gt;0</f>
        <v>0</v>
      </c>
      <c r="K375" s="6" t="b">
        <f>SUMPRODUCT(--ISNUMBER(SEARCH(CategoriesConfig!E$3:E$12,$B375)))&gt;0</f>
        <v>0</v>
      </c>
      <c r="L375" s="6" t="b">
        <f>SUMPRODUCT(--ISNUMBER(SEARCH(CategoriesConfig!F$3:F$12,$B375)))&gt;0</f>
        <v>1</v>
      </c>
      <c r="M375" s="6" t="b">
        <f>SUMPRODUCT(--ISNUMBER(SEARCH(CategoriesConfig!G$3:G$12,$B375)))&gt;0</f>
        <v>0</v>
      </c>
      <c r="N375" s="6" t="b">
        <f>SUMPRODUCT(--ISNUMBER(SEARCH(CategoriesConfig!H$3:H$12,$B375)))&gt;0</f>
        <v>0</v>
      </c>
      <c r="O375" s="6" t="b">
        <f>SUMPRODUCT(--ISNUMBER(SEARCH(CategoriesConfig!I$3:I$12,$B375)))&gt;0</f>
        <v>0</v>
      </c>
      <c r="P375" s="22" t="b">
        <f t="shared" si="22"/>
        <v>0</v>
      </c>
      <c r="Q375" s="22">
        <f t="shared" si="23"/>
        <v>8</v>
      </c>
      <c r="R375" s="58"/>
      <c r="S375" s="6" t="str">
        <f t="shared" si="24"/>
        <v>F</v>
      </c>
    </row>
    <row r="376" spans="1:19" ht="13.5" thickBot="1" x14ac:dyDescent="0.25">
      <c r="A376" s="4">
        <f>DATEVALUE(DataIn!A396)</f>
        <v>42968</v>
      </c>
      <c r="B376" s="5" t="str">
        <f>DataIn!B396</f>
        <v>POS 512967XXXXXX4422 ZES*UBER INDIA S POS DEBIT</v>
      </c>
      <c r="C376" s="5" t="str">
        <f>DataIn!C396</f>
        <v>0000723360007760</v>
      </c>
      <c r="D376" s="5" t="str">
        <f>DataIn!D396</f>
        <v>21/08/17</v>
      </c>
      <c r="E376" s="5">
        <f>DataIn!E396</f>
        <v>725.54</v>
      </c>
      <c r="F376" s="5">
        <f>DataIn!F396</f>
        <v>0</v>
      </c>
      <c r="G376" s="5">
        <f>DataIn!G396</f>
        <v>100067.4</v>
      </c>
      <c r="H376" s="6" t="b">
        <f>SUMPRODUCT(--ISNUMBER(SEARCH(CategoriesConfig!B$3:B$12,$B376)))&gt;0</f>
        <v>0</v>
      </c>
      <c r="I376" s="6" t="b">
        <f>SUMPRODUCT(--ISNUMBER(SEARCH(CategoriesConfig!C$3:C$12,$B376)))&gt;0</f>
        <v>1</v>
      </c>
      <c r="J376" s="6" t="b">
        <f>SUMPRODUCT(--ISNUMBER(SEARCH(CategoriesConfig!D$3:D$12,$B376)))&gt;0</f>
        <v>0</v>
      </c>
      <c r="K376" s="6" t="b">
        <f>SUMPRODUCT(--ISNUMBER(SEARCH(CategoriesConfig!E$3:E$12,$B376)))&gt;0</f>
        <v>0</v>
      </c>
      <c r="L376" s="6" t="b">
        <f>SUMPRODUCT(--ISNUMBER(SEARCH(CategoriesConfig!F$3:F$12,$B376)))&gt;0</f>
        <v>0</v>
      </c>
      <c r="M376" s="6" t="b">
        <f>SUMPRODUCT(--ISNUMBER(SEARCH(CategoriesConfig!G$3:G$12,$B376)))&gt;0</f>
        <v>0</v>
      </c>
      <c r="N376" s="6" t="b">
        <f>SUMPRODUCT(--ISNUMBER(SEARCH(CategoriesConfig!H$3:H$12,$B376)))&gt;0</f>
        <v>0</v>
      </c>
      <c r="O376" s="6" t="b">
        <f>SUMPRODUCT(--ISNUMBER(SEARCH(CategoriesConfig!I$3:I$12,$B376)))&gt;0</f>
        <v>0</v>
      </c>
      <c r="P376" s="22" t="b">
        <f t="shared" si="22"/>
        <v>0</v>
      </c>
      <c r="Q376" s="22">
        <f t="shared" si="23"/>
        <v>8</v>
      </c>
      <c r="R376" s="58"/>
      <c r="S376" s="6" t="str">
        <f t="shared" si="24"/>
        <v>U</v>
      </c>
    </row>
    <row r="377" spans="1:19" ht="13.5" thickBot="1" x14ac:dyDescent="0.25">
      <c r="A377" s="4">
        <f>DATEVALUE(DataIn!A397)</f>
        <v>42968</v>
      </c>
      <c r="B377" s="5" t="str">
        <f>DataIn!B397</f>
        <v>POS 512967XXXXXX4422 ZES*UBER INDIA S POS DEBIT</v>
      </c>
      <c r="C377" s="5" t="str">
        <f>DataIn!C397</f>
        <v>0000723360028790</v>
      </c>
      <c r="D377" s="5" t="str">
        <f>DataIn!D397</f>
        <v>21/08/17</v>
      </c>
      <c r="E377" s="5">
        <f>DataIn!E397</f>
        <v>735.62</v>
      </c>
      <c r="F377" s="5">
        <f>DataIn!F397</f>
        <v>0</v>
      </c>
      <c r="G377" s="5">
        <f>DataIn!G397</f>
        <v>99331.78</v>
      </c>
      <c r="H377" s="6" t="b">
        <f>SUMPRODUCT(--ISNUMBER(SEARCH(CategoriesConfig!B$3:B$12,$B377)))&gt;0</f>
        <v>0</v>
      </c>
      <c r="I377" s="6" t="b">
        <f>SUMPRODUCT(--ISNUMBER(SEARCH(CategoriesConfig!C$3:C$12,$B377)))&gt;0</f>
        <v>1</v>
      </c>
      <c r="J377" s="6" t="b">
        <f>SUMPRODUCT(--ISNUMBER(SEARCH(CategoriesConfig!D$3:D$12,$B377)))&gt;0</f>
        <v>0</v>
      </c>
      <c r="K377" s="6" t="b">
        <f>SUMPRODUCT(--ISNUMBER(SEARCH(CategoriesConfig!E$3:E$12,$B377)))&gt;0</f>
        <v>0</v>
      </c>
      <c r="L377" s="6" t="b">
        <f>SUMPRODUCT(--ISNUMBER(SEARCH(CategoriesConfig!F$3:F$12,$B377)))&gt;0</f>
        <v>0</v>
      </c>
      <c r="M377" s="6" t="b">
        <f>SUMPRODUCT(--ISNUMBER(SEARCH(CategoriesConfig!G$3:G$12,$B377)))&gt;0</f>
        <v>0</v>
      </c>
      <c r="N377" s="6" t="b">
        <f>SUMPRODUCT(--ISNUMBER(SEARCH(CategoriesConfig!H$3:H$12,$B377)))&gt;0</f>
        <v>0</v>
      </c>
      <c r="O377" s="6" t="b">
        <f>SUMPRODUCT(--ISNUMBER(SEARCH(CategoriesConfig!I$3:I$12,$B377)))&gt;0</f>
        <v>0</v>
      </c>
      <c r="P377" s="22" t="b">
        <f t="shared" si="22"/>
        <v>0</v>
      </c>
      <c r="Q377" s="22">
        <f t="shared" si="23"/>
        <v>8</v>
      </c>
      <c r="R377" s="58"/>
      <c r="S377" s="6" t="str">
        <f t="shared" si="24"/>
        <v>U</v>
      </c>
    </row>
    <row r="378" spans="1:19" ht="13.5" thickBot="1" x14ac:dyDescent="0.25">
      <c r="A378" s="4">
        <f>DATEVALUE(DataIn!A398)</f>
        <v>42968</v>
      </c>
      <c r="B378" s="5" t="str">
        <f>DataIn!B398</f>
        <v>POS 512967XXXXXX4422 PAYU-WWW.OLACABS POS DEBIT</v>
      </c>
      <c r="C378" s="5" t="str">
        <f>DataIn!C398</f>
        <v>0000040018002967</v>
      </c>
      <c r="D378" s="5" t="str">
        <f>DataIn!D398</f>
        <v>21/08/17</v>
      </c>
      <c r="E378" s="5">
        <f>DataIn!E398</f>
        <v>201</v>
      </c>
      <c r="F378" s="5">
        <f>DataIn!F398</f>
        <v>0</v>
      </c>
      <c r="G378" s="5">
        <f>DataIn!G398</f>
        <v>99130.78</v>
      </c>
      <c r="H378" s="6" t="b">
        <f>SUMPRODUCT(--ISNUMBER(SEARCH(CategoriesConfig!B$3:B$12,$B378)))&gt;0</f>
        <v>0</v>
      </c>
      <c r="I378" s="6" t="b">
        <f>SUMPRODUCT(--ISNUMBER(SEARCH(CategoriesConfig!C$3:C$12,$B378)))&gt;0</f>
        <v>1</v>
      </c>
      <c r="J378" s="6" t="b">
        <f>SUMPRODUCT(--ISNUMBER(SEARCH(CategoriesConfig!D$3:D$12,$B378)))&gt;0</f>
        <v>0</v>
      </c>
      <c r="K378" s="6" t="b">
        <f>SUMPRODUCT(--ISNUMBER(SEARCH(CategoriesConfig!E$3:E$12,$B378)))&gt;0</f>
        <v>0</v>
      </c>
      <c r="L378" s="6" t="b">
        <f>SUMPRODUCT(--ISNUMBER(SEARCH(CategoriesConfig!F$3:F$12,$B378)))&gt;0</f>
        <v>0</v>
      </c>
      <c r="M378" s="6" t="b">
        <f>SUMPRODUCT(--ISNUMBER(SEARCH(CategoriesConfig!G$3:G$12,$B378)))&gt;0</f>
        <v>0</v>
      </c>
      <c r="N378" s="6" t="b">
        <f>SUMPRODUCT(--ISNUMBER(SEARCH(CategoriesConfig!H$3:H$12,$B378)))&gt;0</f>
        <v>0</v>
      </c>
      <c r="O378" s="6" t="b">
        <f>SUMPRODUCT(--ISNUMBER(SEARCH(CategoriesConfig!I$3:I$12,$B378)))&gt;0</f>
        <v>0</v>
      </c>
      <c r="P378" s="22" t="b">
        <f t="shared" si="22"/>
        <v>0</v>
      </c>
      <c r="Q378" s="22">
        <f t="shared" si="23"/>
        <v>8</v>
      </c>
      <c r="R378" s="58"/>
      <c r="S378" s="6" t="str">
        <f t="shared" si="24"/>
        <v>U</v>
      </c>
    </row>
    <row r="379" spans="1:19" ht="13.5" thickBot="1" x14ac:dyDescent="0.25">
      <c r="A379" s="4">
        <f>DATEVALUE(DataIn!A399)</f>
        <v>42968</v>
      </c>
      <c r="B379" s="5" t="str">
        <f>DataIn!B399</f>
        <v>POS 512967XXXXXX4422 CELEBRATIONS, POS DEBIT</v>
      </c>
      <c r="C379" s="5" t="str">
        <f>DataIn!C399</f>
        <v>0000000000026348</v>
      </c>
      <c r="D379" s="5" t="str">
        <f>DataIn!D399</f>
        <v>21/08/17</v>
      </c>
      <c r="E379" s="5">
        <f>DataIn!E399</f>
        <v>94</v>
      </c>
      <c r="F379" s="5">
        <f>DataIn!F399</f>
        <v>0</v>
      </c>
      <c r="G379" s="5">
        <f>DataIn!G399</f>
        <v>99036.78</v>
      </c>
      <c r="H379" s="6" t="b">
        <f>SUMPRODUCT(--ISNUMBER(SEARCH(CategoriesConfig!B$3:B$12,$B379)))&gt;0</f>
        <v>0</v>
      </c>
      <c r="I379" s="6" t="b">
        <f>SUMPRODUCT(--ISNUMBER(SEARCH(CategoriesConfig!C$3:C$12,$B379)))&gt;0</f>
        <v>0</v>
      </c>
      <c r="J379" s="6" t="b">
        <f>SUMPRODUCT(--ISNUMBER(SEARCH(CategoriesConfig!D$3:D$12,$B379)))&gt;0</f>
        <v>1</v>
      </c>
      <c r="K379" s="6" t="b">
        <f>SUMPRODUCT(--ISNUMBER(SEARCH(CategoriesConfig!E$3:E$12,$B379)))&gt;0</f>
        <v>0</v>
      </c>
      <c r="L379" s="6" t="b">
        <f>SUMPRODUCT(--ISNUMBER(SEARCH(CategoriesConfig!F$3:F$12,$B379)))&gt;0</f>
        <v>0</v>
      </c>
      <c r="M379" s="6" t="b">
        <f>SUMPRODUCT(--ISNUMBER(SEARCH(CategoriesConfig!G$3:G$12,$B379)))&gt;0</f>
        <v>0</v>
      </c>
      <c r="N379" s="6" t="b">
        <f>SUMPRODUCT(--ISNUMBER(SEARCH(CategoriesConfig!H$3:H$12,$B379)))&gt;0</f>
        <v>0</v>
      </c>
      <c r="O379" s="6" t="b">
        <f>SUMPRODUCT(--ISNUMBER(SEARCH(CategoriesConfig!I$3:I$12,$B379)))&gt;0</f>
        <v>0</v>
      </c>
      <c r="P379" s="22" t="b">
        <f t="shared" si="22"/>
        <v>0</v>
      </c>
      <c r="Q379" s="22">
        <f t="shared" si="23"/>
        <v>8</v>
      </c>
      <c r="R379" s="58"/>
      <c r="S379" s="6" t="str">
        <f t="shared" si="24"/>
        <v>L</v>
      </c>
    </row>
    <row r="380" spans="1:19" ht="13.5" thickBot="1" x14ac:dyDescent="0.25">
      <c r="A380" s="4">
        <f>DATEVALUE(DataIn!A400)</f>
        <v>42969</v>
      </c>
      <c r="B380" s="5" t="str">
        <f>DataIn!B400</f>
        <v>POS 512967XXXXXX4422 ZES*UBER INDIA S POS DEBIT</v>
      </c>
      <c r="C380" s="5" t="str">
        <f>DataIn!C400</f>
        <v>0000723400025962</v>
      </c>
      <c r="D380" s="5" t="str">
        <f>DataIn!D400</f>
        <v>22/08/17</v>
      </c>
      <c r="E380" s="5">
        <f>DataIn!E400</f>
        <v>194.04</v>
      </c>
      <c r="F380" s="5">
        <f>DataIn!F400</f>
        <v>0</v>
      </c>
      <c r="G380" s="5">
        <f>DataIn!G400</f>
        <v>98842.74</v>
      </c>
      <c r="H380" s="6" t="b">
        <f>SUMPRODUCT(--ISNUMBER(SEARCH(CategoriesConfig!B$3:B$12,$B380)))&gt;0</f>
        <v>0</v>
      </c>
      <c r="I380" s="6" t="b">
        <f>SUMPRODUCT(--ISNUMBER(SEARCH(CategoriesConfig!C$3:C$12,$B380)))&gt;0</f>
        <v>1</v>
      </c>
      <c r="J380" s="6" t="b">
        <f>SUMPRODUCT(--ISNUMBER(SEARCH(CategoriesConfig!D$3:D$12,$B380)))&gt;0</f>
        <v>0</v>
      </c>
      <c r="K380" s="6" t="b">
        <f>SUMPRODUCT(--ISNUMBER(SEARCH(CategoriesConfig!E$3:E$12,$B380)))&gt;0</f>
        <v>0</v>
      </c>
      <c r="L380" s="6" t="b">
        <f>SUMPRODUCT(--ISNUMBER(SEARCH(CategoriesConfig!F$3:F$12,$B380)))&gt;0</f>
        <v>0</v>
      </c>
      <c r="M380" s="6" t="b">
        <f>SUMPRODUCT(--ISNUMBER(SEARCH(CategoriesConfig!G$3:G$12,$B380)))&gt;0</f>
        <v>0</v>
      </c>
      <c r="N380" s="6" t="b">
        <f>SUMPRODUCT(--ISNUMBER(SEARCH(CategoriesConfig!H$3:H$12,$B380)))&gt;0</f>
        <v>0</v>
      </c>
      <c r="O380" s="6" t="b">
        <f>SUMPRODUCT(--ISNUMBER(SEARCH(CategoriesConfig!I$3:I$12,$B380)))&gt;0</f>
        <v>0</v>
      </c>
      <c r="P380" s="22" t="b">
        <f t="shared" si="22"/>
        <v>0</v>
      </c>
      <c r="Q380" s="22">
        <f t="shared" si="23"/>
        <v>8</v>
      </c>
      <c r="R380" s="58"/>
      <c r="S380" s="6" t="str">
        <f t="shared" si="24"/>
        <v>U</v>
      </c>
    </row>
    <row r="381" spans="1:19" ht="13.5" thickBot="1" x14ac:dyDescent="0.25">
      <c r="A381" s="4">
        <f>DATEVALUE(DataIn!A401)</f>
        <v>42969</v>
      </c>
      <c r="B381" s="5" t="str">
        <f>DataIn!B401</f>
        <v>POS 512967XXXXXX4422 CELEBRATIONS, POS DEBIT</v>
      </c>
      <c r="C381" s="5" t="str">
        <f>DataIn!C401</f>
        <v>0000000000026656</v>
      </c>
      <c r="D381" s="5" t="str">
        <f>DataIn!D401</f>
        <v>22/08/17</v>
      </c>
      <c r="E381" s="5">
        <f>DataIn!E401</f>
        <v>94</v>
      </c>
      <c r="F381" s="5">
        <f>DataIn!F401</f>
        <v>0</v>
      </c>
      <c r="G381" s="5">
        <f>DataIn!G401</f>
        <v>98748.74</v>
      </c>
      <c r="H381" s="6" t="b">
        <f>SUMPRODUCT(--ISNUMBER(SEARCH(CategoriesConfig!B$3:B$12,$B381)))&gt;0</f>
        <v>0</v>
      </c>
      <c r="I381" s="6" t="b">
        <f>SUMPRODUCT(--ISNUMBER(SEARCH(CategoriesConfig!C$3:C$12,$B381)))&gt;0</f>
        <v>0</v>
      </c>
      <c r="J381" s="6" t="b">
        <f>SUMPRODUCT(--ISNUMBER(SEARCH(CategoriesConfig!D$3:D$12,$B381)))&gt;0</f>
        <v>1</v>
      </c>
      <c r="K381" s="6" t="b">
        <f>SUMPRODUCT(--ISNUMBER(SEARCH(CategoriesConfig!E$3:E$12,$B381)))&gt;0</f>
        <v>0</v>
      </c>
      <c r="L381" s="6" t="b">
        <f>SUMPRODUCT(--ISNUMBER(SEARCH(CategoriesConfig!F$3:F$12,$B381)))&gt;0</f>
        <v>0</v>
      </c>
      <c r="M381" s="6" t="b">
        <f>SUMPRODUCT(--ISNUMBER(SEARCH(CategoriesConfig!G$3:G$12,$B381)))&gt;0</f>
        <v>0</v>
      </c>
      <c r="N381" s="6" t="b">
        <f>SUMPRODUCT(--ISNUMBER(SEARCH(CategoriesConfig!H$3:H$12,$B381)))&gt;0</f>
        <v>0</v>
      </c>
      <c r="O381" s="6" t="b">
        <f>SUMPRODUCT(--ISNUMBER(SEARCH(CategoriesConfig!I$3:I$12,$B381)))&gt;0</f>
        <v>0</v>
      </c>
      <c r="P381" s="22" t="b">
        <f t="shared" si="22"/>
        <v>0</v>
      </c>
      <c r="Q381" s="22">
        <f t="shared" si="23"/>
        <v>8</v>
      </c>
      <c r="R381" s="58"/>
      <c r="S381" s="6" t="str">
        <f t="shared" si="24"/>
        <v>L</v>
      </c>
    </row>
    <row r="382" spans="1:19" ht="13.5" thickBot="1" x14ac:dyDescent="0.25">
      <c r="A382" s="4">
        <f>DATEVALUE(DataIn!A402)</f>
        <v>42970</v>
      </c>
      <c r="B382" s="5" t="str">
        <f>DataIn!B402</f>
        <v>POS 512967XXXXXX4422 CELEBRATIONS, POS DEBIT</v>
      </c>
      <c r="C382" s="5" t="str">
        <f>DataIn!C402</f>
        <v>0000000000026854</v>
      </c>
      <c r="D382" s="5" t="str">
        <f>DataIn!D402</f>
        <v>23/08/17</v>
      </c>
      <c r="E382" s="5">
        <f>DataIn!E402</f>
        <v>94</v>
      </c>
      <c r="F382" s="5">
        <f>DataIn!F402</f>
        <v>0</v>
      </c>
      <c r="G382" s="5">
        <f>DataIn!G402</f>
        <v>98654.74</v>
      </c>
      <c r="H382" s="6" t="b">
        <f>SUMPRODUCT(--ISNUMBER(SEARCH(CategoriesConfig!B$3:B$12,$B382)))&gt;0</f>
        <v>0</v>
      </c>
      <c r="I382" s="6" t="b">
        <f>SUMPRODUCT(--ISNUMBER(SEARCH(CategoriesConfig!C$3:C$12,$B382)))&gt;0</f>
        <v>0</v>
      </c>
      <c r="J382" s="6" t="b">
        <f>SUMPRODUCT(--ISNUMBER(SEARCH(CategoriesConfig!D$3:D$12,$B382)))&gt;0</f>
        <v>1</v>
      </c>
      <c r="K382" s="6" t="b">
        <f>SUMPRODUCT(--ISNUMBER(SEARCH(CategoriesConfig!E$3:E$12,$B382)))&gt;0</f>
        <v>0</v>
      </c>
      <c r="L382" s="6" t="b">
        <f>SUMPRODUCT(--ISNUMBER(SEARCH(CategoriesConfig!F$3:F$12,$B382)))&gt;0</f>
        <v>0</v>
      </c>
      <c r="M382" s="6" t="b">
        <f>SUMPRODUCT(--ISNUMBER(SEARCH(CategoriesConfig!G$3:G$12,$B382)))&gt;0</f>
        <v>0</v>
      </c>
      <c r="N382" s="6" t="b">
        <f>SUMPRODUCT(--ISNUMBER(SEARCH(CategoriesConfig!H$3:H$12,$B382)))&gt;0</f>
        <v>0</v>
      </c>
      <c r="O382" s="6" t="b">
        <f>SUMPRODUCT(--ISNUMBER(SEARCH(CategoriesConfig!I$3:I$12,$B382)))&gt;0</f>
        <v>0</v>
      </c>
      <c r="P382" s="22" t="b">
        <f t="shared" si="22"/>
        <v>0</v>
      </c>
      <c r="Q382" s="22">
        <f t="shared" si="23"/>
        <v>8</v>
      </c>
      <c r="R382" s="58"/>
      <c r="S382" s="6" t="str">
        <f t="shared" si="24"/>
        <v>L</v>
      </c>
    </row>
    <row r="383" spans="1:19" ht="13.5" thickBot="1" x14ac:dyDescent="0.25">
      <c r="A383" s="4">
        <f>DATEVALUE(DataIn!A403)</f>
        <v>42970</v>
      </c>
      <c r="B383" s="5" t="str">
        <f>DataIn!B403</f>
        <v>POS 512967XXXXXX4422 CAFE COFFEE DAY POS DEBIT</v>
      </c>
      <c r="C383" s="5" t="str">
        <f>DataIn!C403</f>
        <v>0000000000010707</v>
      </c>
      <c r="D383" s="5" t="str">
        <f>DataIn!D403</f>
        <v>23/08/17</v>
      </c>
      <c r="E383" s="5">
        <f>DataIn!E403</f>
        <v>136</v>
      </c>
      <c r="F383" s="5">
        <f>DataIn!F403</f>
        <v>0</v>
      </c>
      <c r="G383" s="5">
        <f>DataIn!G403</f>
        <v>98518.74</v>
      </c>
      <c r="H383" s="6" t="b">
        <f>SUMPRODUCT(--ISNUMBER(SEARCH(CategoriesConfig!B$3:B$12,$B383)))&gt;0</f>
        <v>0</v>
      </c>
      <c r="I383" s="6" t="b">
        <f>SUMPRODUCT(--ISNUMBER(SEARCH(CategoriesConfig!C$3:C$12,$B383)))&gt;0</f>
        <v>0</v>
      </c>
      <c r="J383" s="6" t="b">
        <f>SUMPRODUCT(--ISNUMBER(SEARCH(CategoriesConfig!D$3:D$12,$B383)))&gt;0</f>
        <v>0</v>
      </c>
      <c r="K383" s="6" t="b">
        <f>SUMPRODUCT(--ISNUMBER(SEARCH(CategoriesConfig!E$3:E$12,$B383)))&gt;0</f>
        <v>0</v>
      </c>
      <c r="L383" s="6" t="b">
        <f>SUMPRODUCT(--ISNUMBER(SEARCH(CategoriesConfig!F$3:F$12,$B383)))&gt;0</f>
        <v>1</v>
      </c>
      <c r="M383" s="6" t="b">
        <f>SUMPRODUCT(--ISNUMBER(SEARCH(CategoriesConfig!G$3:G$12,$B383)))&gt;0</f>
        <v>0</v>
      </c>
      <c r="N383" s="6" t="b">
        <f>SUMPRODUCT(--ISNUMBER(SEARCH(CategoriesConfig!H$3:H$12,$B383)))&gt;0</f>
        <v>0</v>
      </c>
      <c r="O383" s="6" t="b">
        <f>SUMPRODUCT(--ISNUMBER(SEARCH(CategoriesConfig!I$3:I$12,$B383)))&gt;0</f>
        <v>0</v>
      </c>
      <c r="P383" s="22" t="b">
        <f t="shared" si="22"/>
        <v>0</v>
      </c>
      <c r="Q383" s="22">
        <f t="shared" si="23"/>
        <v>8</v>
      </c>
      <c r="R383" s="58"/>
      <c r="S383" s="6" t="str">
        <f t="shared" si="24"/>
        <v>F</v>
      </c>
    </row>
    <row r="384" spans="1:19" ht="13.5" thickBot="1" x14ac:dyDescent="0.25">
      <c r="A384" s="4">
        <f>DATEVALUE(DataIn!A404)</f>
        <v>42970</v>
      </c>
      <c r="B384" s="5" t="str">
        <f>DataIn!B404</f>
        <v>POS 512967XXXXXX4422 ZES*UBER INDIA S POS DEBIT</v>
      </c>
      <c r="C384" s="5" t="str">
        <f>DataIn!C404</f>
        <v>0000723500113855</v>
      </c>
      <c r="D384" s="5" t="str">
        <f>DataIn!D404</f>
        <v>23/08/17</v>
      </c>
      <c r="E384" s="5">
        <f>DataIn!E404</f>
        <v>183.48</v>
      </c>
      <c r="F384" s="5">
        <f>DataIn!F404</f>
        <v>0</v>
      </c>
      <c r="G384" s="5">
        <f>DataIn!G404</f>
        <v>98335.26</v>
      </c>
      <c r="H384" s="6" t="b">
        <f>SUMPRODUCT(--ISNUMBER(SEARCH(CategoriesConfig!B$3:B$12,$B384)))&gt;0</f>
        <v>0</v>
      </c>
      <c r="I384" s="6" t="b">
        <f>SUMPRODUCT(--ISNUMBER(SEARCH(CategoriesConfig!C$3:C$12,$B384)))&gt;0</f>
        <v>1</v>
      </c>
      <c r="J384" s="6" t="b">
        <f>SUMPRODUCT(--ISNUMBER(SEARCH(CategoriesConfig!D$3:D$12,$B384)))&gt;0</f>
        <v>0</v>
      </c>
      <c r="K384" s="6" t="b">
        <f>SUMPRODUCT(--ISNUMBER(SEARCH(CategoriesConfig!E$3:E$12,$B384)))&gt;0</f>
        <v>0</v>
      </c>
      <c r="L384" s="6" t="b">
        <f>SUMPRODUCT(--ISNUMBER(SEARCH(CategoriesConfig!F$3:F$12,$B384)))&gt;0</f>
        <v>0</v>
      </c>
      <c r="M384" s="6" t="b">
        <f>SUMPRODUCT(--ISNUMBER(SEARCH(CategoriesConfig!G$3:G$12,$B384)))&gt;0</f>
        <v>0</v>
      </c>
      <c r="N384" s="6" t="b">
        <f>SUMPRODUCT(--ISNUMBER(SEARCH(CategoriesConfig!H$3:H$12,$B384)))&gt;0</f>
        <v>0</v>
      </c>
      <c r="O384" s="6" t="b">
        <f>SUMPRODUCT(--ISNUMBER(SEARCH(CategoriesConfig!I$3:I$12,$B384)))&gt;0</f>
        <v>0</v>
      </c>
      <c r="P384" s="22" t="b">
        <f t="shared" si="22"/>
        <v>0</v>
      </c>
      <c r="Q384" s="22">
        <f t="shared" si="23"/>
        <v>8</v>
      </c>
      <c r="R384" s="58"/>
      <c r="S384" s="6" t="str">
        <f t="shared" si="24"/>
        <v>U</v>
      </c>
    </row>
    <row r="385" spans="1:19" ht="13.5" thickBot="1" x14ac:dyDescent="0.25">
      <c r="A385" s="4">
        <f>DATEVALUE(DataIn!A405)</f>
        <v>42970</v>
      </c>
      <c r="B385" s="5" t="str">
        <f>DataIn!B405</f>
        <v>POS 512967XXXXXX4422 PAYU-WWW.OLACABS POS DEBIT</v>
      </c>
      <c r="C385" s="5" t="str">
        <f>DataIn!C405</f>
        <v>0000020025849128</v>
      </c>
      <c r="D385" s="5" t="str">
        <f>DataIn!D405</f>
        <v>23/08/17</v>
      </c>
      <c r="E385" s="5">
        <f>DataIn!E405</f>
        <v>222</v>
      </c>
      <c r="F385" s="5">
        <f>DataIn!F405</f>
        <v>0</v>
      </c>
      <c r="G385" s="5">
        <f>DataIn!G405</f>
        <v>98113.26</v>
      </c>
      <c r="H385" s="6" t="b">
        <f>SUMPRODUCT(--ISNUMBER(SEARCH(CategoriesConfig!B$3:B$12,$B385)))&gt;0</f>
        <v>0</v>
      </c>
      <c r="I385" s="6" t="b">
        <f>SUMPRODUCT(--ISNUMBER(SEARCH(CategoriesConfig!C$3:C$12,$B385)))&gt;0</f>
        <v>1</v>
      </c>
      <c r="J385" s="6" t="b">
        <f>SUMPRODUCT(--ISNUMBER(SEARCH(CategoriesConfig!D$3:D$12,$B385)))&gt;0</f>
        <v>0</v>
      </c>
      <c r="K385" s="6" t="b">
        <f>SUMPRODUCT(--ISNUMBER(SEARCH(CategoriesConfig!E$3:E$12,$B385)))&gt;0</f>
        <v>0</v>
      </c>
      <c r="L385" s="6" t="b">
        <f>SUMPRODUCT(--ISNUMBER(SEARCH(CategoriesConfig!F$3:F$12,$B385)))&gt;0</f>
        <v>0</v>
      </c>
      <c r="M385" s="6" t="b">
        <f>SUMPRODUCT(--ISNUMBER(SEARCH(CategoriesConfig!G$3:G$12,$B385)))&gt;0</f>
        <v>0</v>
      </c>
      <c r="N385" s="6" t="b">
        <f>SUMPRODUCT(--ISNUMBER(SEARCH(CategoriesConfig!H$3:H$12,$B385)))&gt;0</f>
        <v>0</v>
      </c>
      <c r="O385" s="6" t="b">
        <f>SUMPRODUCT(--ISNUMBER(SEARCH(CategoriesConfig!I$3:I$12,$B385)))&gt;0</f>
        <v>0</v>
      </c>
      <c r="P385" s="22" t="b">
        <f t="shared" si="22"/>
        <v>0</v>
      </c>
      <c r="Q385" s="22">
        <f t="shared" si="23"/>
        <v>8</v>
      </c>
      <c r="R385" s="58"/>
      <c r="S385" s="6" t="str">
        <f t="shared" si="24"/>
        <v>U</v>
      </c>
    </row>
    <row r="386" spans="1:19" ht="13.5" thickBot="1" x14ac:dyDescent="0.25">
      <c r="A386" s="4">
        <f>DATEVALUE(DataIn!A406)</f>
        <v>42970</v>
      </c>
      <c r="B386" s="5" t="str">
        <f>DataIn!B406</f>
        <v>POS 512967XXXXXX4422 DRIBBLE INC POS DEBIT</v>
      </c>
      <c r="C386" s="5" t="str">
        <f>DataIn!C406</f>
        <v>0000000000000923</v>
      </c>
      <c r="D386" s="5" t="str">
        <f>DataIn!D406</f>
        <v>23/08/17</v>
      </c>
      <c r="E386" s="5">
        <f>DataIn!E406</f>
        <v>150</v>
      </c>
      <c r="F386" s="5">
        <f>DataIn!F406</f>
        <v>0</v>
      </c>
      <c r="G386" s="5">
        <f>DataIn!G406</f>
        <v>97963.26</v>
      </c>
      <c r="H386" s="6" t="b">
        <f>SUMPRODUCT(--ISNUMBER(SEARCH(CategoriesConfig!B$3:B$12,$B386)))&gt;0</f>
        <v>0</v>
      </c>
      <c r="I386" s="6" t="b">
        <f>SUMPRODUCT(--ISNUMBER(SEARCH(CategoriesConfig!C$3:C$12,$B386)))&gt;0</f>
        <v>0</v>
      </c>
      <c r="J386" s="6" t="b">
        <f>SUMPRODUCT(--ISNUMBER(SEARCH(CategoriesConfig!D$3:D$12,$B386)))&gt;0</f>
        <v>0</v>
      </c>
      <c r="K386" s="6" t="b">
        <f>SUMPRODUCT(--ISNUMBER(SEARCH(CategoriesConfig!E$3:E$12,$B386)))&gt;0</f>
        <v>0</v>
      </c>
      <c r="L386" s="6" t="b">
        <f>SUMPRODUCT(--ISNUMBER(SEARCH(CategoriesConfig!F$3:F$12,$B386)))&gt;0</f>
        <v>0</v>
      </c>
      <c r="M386" s="6" t="b">
        <f>SUMPRODUCT(--ISNUMBER(SEARCH(CategoriesConfig!G$3:G$12,$B386)))&gt;0</f>
        <v>1</v>
      </c>
      <c r="N386" s="6" t="b">
        <f>SUMPRODUCT(--ISNUMBER(SEARCH(CategoriesConfig!H$3:H$12,$B386)))&gt;0</f>
        <v>0</v>
      </c>
      <c r="O386" s="6" t="b">
        <f>SUMPRODUCT(--ISNUMBER(SEARCH(CategoriesConfig!I$3:I$12,$B386)))&gt;0</f>
        <v>0</v>
      </c>
      <c r="P386" s="22" t="b">
        <f t="shared" si="22"/>
        <v>0</v>
      </c>
      <c r="Q386" s="22">
        <f t="shared" si="23"/>
        <v>8</v>
      </c>
      <c r="R386" s="58"/>
      <c r="S386" s="6" t="str">
        <f t="shared" si="24"/>
        <v>M</v>
      </c>
    </row>
    <row r="387" spans="1:19" ht="13.5" thickBot="1" x14ac:dyDescent="0.25">
      <c r="A387" s="4">
        <f>DATEVALUE(DataIn!A407)</f>
        <v>42970</v>
      </c>
      <c r="B387" s="5" t="str">
        <f>DataIn!B407</f>
        <v>POS 512967XXXXXX4422 ARBOR BREWPUB POS DEBIT</v>
      </c>
      <c r="C387" s="5" t="str">
        <f>DataIn!C407</f>
        <v>0000000000018312</v>
      </c>
      <c r="D387" s="5" t="str">
        <f>DataIn!D407</f>
        <v>23/08/17</v>
      </c>
      <c r="E387" s="5">
        <f>DataIn!E407</f>
        <v>590</v>
      </c>
      <c r="F387" s="5">
        <f>DataIn!F407</f>
        <v>0</v>
      </c>
      <c r="G387" s="5">
        <f>DataIn!G407</f>
        <v>97373.26</v>
      </c>
      <c r="H387" s="6" t="b">
        <f>SUMPRODUCT(--ISNUMBER(SEARCH(CategoriesConfig!B$3:B$12,$B387)))&gt;0</f>
        <v>0</v>
      </c>
      <c r="I387" s="6" t="b">
        <f>SUMPRODUCT(--ISNUMBER(SEARCH(CategoriesConfig!C$3:C$12,$B387)))&gt;0</f>
        <v>0</v>
      </c>
      <c r="J387" s="6" t="b">
        <f>SUMPRODUCT(--ISNUMBER(SEARCH(CategoriesConfig!D$3:D$12,$B387)))&gt;0</f>
        <v>0</v>
      </c>
      <c r="K387" s="6" t="b">
        <f>SUMPRODUCT(--ISNUMBER(SEARCH(CategoriesConfig!E$3:E$12,$B387)))&gt;0</f>
        <v>0</v>
      </c>
      <c r="L387" s="6" t="b">
        <f>SUMPRODUCT(--ISNUMBER(SEARCH(CategoriesConfig!F$3:F$12,$B387)))&gt;0</f>
        <v>1</v>
      </c>
      <c r="M387" s="6" t="b">
        <f>SUMPRODUCT(--ISNUMBER(SEARCH(CategoriesConfig!G$3:G$12,$B387)))&gt;0</f>
        <v>0</v>
      </c>
      <c r="N387" s="6" t="b">
        <f>SUMPRODUCT(--ISNUMBER(SEARCH(CategoriesConfig!H$3:H$12,$B387)))&gt;0</f>
        <v>0</v>
      </c>
      <c r="O387" s="6" t="b">
        <f>SUMPRODUCT(--ISNUMBER(SEARCH(CategoriesConfig!I$3:I$12,$B387)))&gt;0</f>
        <v>0</v>
      </c>
      <c r="P387" s="22" t="b">
        <f t="shared" si="22"/>
        <v>0</v>
      </c>
      <c r="Q387" s="22">
        <f t="shared" si="23"/>
        <v>8</v>
      </c>
      <c r="R387" s="58"/>
      <c r="S387" s="6" t="str">
        <f t="shared" si="24"/>
        <v>F</v>
      </c>
    </row>
    <row r="388" spans="1:19" ht="13.5" thickBot="1" x14ac:dyDescent="0.25">
      <c r="A388" s="4">
        <f>DATEVALUE(DataIn!A408)</f>
        <v>42970</v>
      </c>
      <c r="B388" s="5" t="str">
        <f>DataIn!B408</f>
        <v>POS 512967XXXXXX4422 ARBOR BREWPUB POS DEBIT</v>
      </c>
      <c r="C388" s="5" t="str">
        <f>DataIn!C408</f>
        <v>0000000000002909</v>
      </c>
      <c r="D388" s="5" t="str">
        <f>DataIn!D408</f>
        <v>23/08/17</v>
      </c>
      <c r="E388" s="5">
        <f>DataIn!E408</f>
        <v>500</v>
      </c>
      <c r="F388" s="5">
        <f>DataIn!F408</f>
        <v>0</v>
      </c>
      <c r="G388" s="5">
        <f>DataIn!G408</f>
        <v>96873.26</v>
      </c>
      <c r="H388" s="6" t="b">
        <f>SUMPRODUCT(--ISNUMBER(SEARCH(CategoriesConfig!B$3:B$12,$B388)))&gt;0</f>
        <v>0</v>
      </c>
      <c r="I388" s="6" t="b">
        <f>SUMPRODUCT(--ISNUMBER(SEARCH(CategoriesConfig!C$3:C$12,$B388)))&gt;0</f>
        <v>0</v>
      </c>
      <c r="J388" s="6" t="b">
        <f>SUMPRODUCT(--ISNUMBER(SEARCH(CategoriesConfig!D$3:D$12,$B388)))&gt;0</f>
        <v>0</v>
      </c>
      <c r="K388" s="6" t="b">
        <f>SUMPRODUCT(--ISNUMBER(SEARCH(CategoriesConfig!E$3:E$12,$B388)))&gt;0</f>
        <v>0</v>
      </c>
      <c r="L388" s="6" t="b">
        <f>SUMPRODUCT(--ISNUMBER(SEARCH(CategoriesConfig!F$3:F$12,$B388)))&gt;0</f>
        <v>1</v>
      </c>
      <c r="M388" s="6" t="b">
        <f>SUMPRODUCT(--ISNUMBER(SEARCH(CategoriesConfig!G$3:G$12,$B388)))&gt;0</f>
        <v>0</v>
      </c>
      <c r="N388" s="6" t="b">
        <f>SUMPRODUCT(--ISNUMBER(SEARCH(CategoriesConfig!H$3:H$12,$B388)))&gt;0</f>
        <v>0</v>
      </c>
      <c r="O388" s="6" t="b">
        <f>SUMPRODUCT(--ISNUMBER(SEARCH(CategoriesConfig!I$3:I$12,$B388)))&gt;0</f>
        <v>0</v>
      </c>
      <c r="P388" s="22" t="b">
        <f t="shared" si="22"/>
        <v>0</v>
      </c>
      <c r="Q388" s="22">
        <f t="shared" si="23"/>
        <v>8</v>
      </c>
      <c r="R388" s="58"/>
      <c r="S388" s="6" t="str">
        <f t="shared" si="24"/>
        <v>F</v>
      </c>
    </row>
    <row r="389" spans="1:19" ht="13.5" thickBot="1" x14ac:dyDescent="0.25">
      <c r="A389" s="4">
        <f>DATEVALUE(DataIn!A409)</f>
        <v>42971</v>
      </c>
      <c r="B389" s="5" t="str">
        <f>DataIn!B409</f>
        <v>POS 512967XXXXXX4422 MC DONALDS. POS DEBIT</v>
      </c>
      <c r="C389" s="5" t="str">
        <f>DataIn!C409</f>
        <v>0000000000068983</v>
      </c>
      <c r="D389" s="5" t="str">
        <f>DataIn!D409</f>
        <v>24/08/17</v>
      </c>
      <c r="E389" s="5">
        <f>DataIn!E409</f>
        <v>427</v>
      </c>
      <c r="F389" s="5">
        <f>DataIn!F409</f>
        <v>0</v>
      </c>
      <c r="G389" s="5">
        <f>DataIn!G409</f>
        <v>96446.26</v>
      </c>
      <c r="H389" s="6" t="b">
        <f>SUMPRODUCT(--ISNUMBER(SEARCH(CategoriesConfig!B$3:B$12,$B389)))&gt;0</f>
        <v>0</v>
      </c>
      <c r="I389" s="6" t="b">
        <f>SUMPRODUCT(--ISNUMBER(SEARCH(CategoriesConfig!C$3:C$12,$B389)))&gt;0</f>
        <v>0</v>
      </c>
      <c r="J389" s="6" t="b">
        <f>SUMPRODUCT(--ISNUMBER(SEARCH(CategoriesConfig!D$3:D$12,$B389)))&gt;0</f>
        <v>0</v>
      </c>
      <c r="K389" s="6" t="b">
        <f>SUMPRODUCT(--ISNUMBER(SEARCH(CategoriesConfig!E$3:E$12,$B389)))&gt;0</f>
        <v>0</v>
      </c>
      <c r="L389" s="6" t="b">
        <f>SUMPRODUCT(--ISNUMBER(SEARCH(CategoriesConfig!F$3:F$12,$B389)))&gt;0</f>
        <v>1</v>
      </c>
      <c r="M389" s="6" t="b">
        <f>SUMPRODUCT(--ISNUMBER(SEARCH(CategoriesConfig!G$3:G$12,$B389)))&gt;0</f>
        <v>0</v>
      </c>
      <c r="N389" s="6" t="b">
        <f>SUMPRODUCT(--ISNUMBER(SEARCH(CategoriesConfig!H$3:H$12,$B389)))&gt;0</f>
        <v>0</v>
      </c>
      <c r="O389" s="6" t="b">
        <f>SUMPRODUCT(--ISNUMBER(SEARCH(CategoriesConfig!I$3:I$12,$B389)))&gt;0</f>
        <v>0</v>
      </c>
      <c r="P389" s="22" t="b">
        <f t="shared" ref="P389:P417" si="25">IF(SUMIF(H389:O389,"TRUE",H$1:O$1)=0,TRUE,FALSE)</f>
        <v>0</v>
      </c>
      <c r="Q389" s="22">
        <f t="shared" ref="Q389:Q417" si="26">MONTH(A389)</f>
        <v>8</v>
      </c>
      <c r="R389" s="58"/>
      <c r="S389" s="6" t="str">
        <f t="shared" ref="S389:S417" si="27">IF(ISBLANK(R389),INDEX(H$2:P$917,1,SUMIF(H389:P389,"TRUE",H$1:P$1)),R389)</f>
        <v>F</v>
      </c>
    </row>
    <row r="390" spans="1:19" ht="13.5" thickBot="1" x14ac:dyDescent="0.25">
      <c r="A390" s="4">
        <f>DATEVALUE(DataIn!A410)</f>
        <v>42971</v>
      </c>
      <c r="B390" s="5" t="str">
        <f>DataIn!B410</f>
        <v>POS 512967XXXXXX4422 ZES*UBER INDIA S POS DEBIT</v>
      </c>
      <c r="C390" s="5" t="str">
        <f>DataIn!C410</f>
        <v>0000723640219823</v>
      </c>
      <c r="D390" s="5" t="str">
        <f>DataIn!D410</f>
        <v>24/08/17</v>
      </c>
      <c r="E390" s="5">
        <f>DataIn!E410</f>
        <v>252.69</v>
      </c>
      <c r="F390" s="5">
        <f>DataIn!F410</f>
        <v>0</v>
      </c>
      <c r="G390" s="5">
        <f>DataIn!G410</f>
        <v>96193.57</v>
      </c>
      <c r="H390" s="6" t="b">
        <f>SUMPRODUCT(--ISNUMBER(SEARCH(CategoriesConfig!B$3:B$12,$B390)))&gt;0</f>
        <v>0</v>
      </c>
      <c r="I390" s="6" t="b">
        <f>SUMPRODUCT(--ISNUMBER(SEARCH(CategoriesConfig!C$3:C$12,$B390)))&gt;0</f>
        <v>1</v>
      </c>
      <c r="J390" s="6" t="b">
        <f>SUMPRODUCT(--ISNUMBER(SEARCH(CategoriesConfig!D$3:D$12,$B390)))&gt;0</f>
        <v>0</v>
      </c>
      <c r="K390" s="6" t="b">
        <f>SUMPRODUCT(--ISNUMBER(SEARCH(CategoriesConfig!E$3:E$12,$B390)))&gt;0</f>
        <v>0</v>
      </c>
      <c r="L390" s="6" t="b">
        <f>SUMPRODUCT(--ISNUMBER(SEARCH(CategoriesConfig!F$3:F$12,$B390)))&gt;0</f>
        <v>0</v>
      </c>
      <c r="M390" s="6" t="b">
        <f>SUMPRODUCT(--ISNUMBER(SEARCH(CategoriesConfig!G$3:G$12,$B390)))&gt;0</f>
        <v>0</v>
      </c>
      <c r="N390" s="6" t="b">
        <f>SUMPRODUCT(--ISNUMBER(SEARCH(CategoriesConfig!H$3:H$12,$B390)))&gt;0</f>
        <v>0</v>
      </c>
      <c r="O390" s="6" t="b">
        <f>SUMPRODUCT(--ISNUMBER(SEARCH(CategoriesConfig!I$3:I$12,$B390)))&gt;0</f>
        <v>0</v>
      </c>
      <c r="P390" s="22" t="b">
        <f t="shared" si="25"/>
        <v>0</v>
      </c>
      <c r="Q390" s="22">
        <f t="shared" si="26"/>
        <v>8</v>
      </c>
      <c r="R390" s="58"/>
      <c r="S390" s="6" t="str">
        <f t="shared" si="27"/>
        <v>U</v>
      </c>
    </row>
    <row r="391" spans="1:19" ht="13.5" thickBot="1" x14ac:dyDescent="0.25">
      <c r="A391" s="4">
        <f>DATEVALUE(DataIn!A411)</f>
        <v>42971</v>
      </c>
      <c r="B391" s="5" t="str">
        <f>DataIn!B411</f>
        <v>POS 512967XXXXXX4422 MUNI WINES POS DEBIT</v>
      </c>
      <c r="C391" s="5" t="str">
        <f>DataIn!C411</f>
        <v>0000000000007004</v>
      </c>
      <c r="D391" s="5" t="str">
        <f>DataIn!D411</f>
        <v>24/08/17</v>
      </c>
      <c r="E391" s="5">
        <f>DataIn!E411</f>
        <v>570</v>
      </c>
      <c r="F391" s="5">
        <f>DataIn!F411</f>
        <v>0</v>
      </c>
      <c r="G391" s="5">
        <f>DataIn!G411</f>
        <v>95623.57</v>
      </c>
      <c r="H391" s="6" t="b">
        <f>SUMPRODUCT(--ISNUMBER(SEARCH(CategoriesConfig!B$3:B$12,$B391)))&gt;0</f>
        <v>0</v>
      </c>
      <c r="I391" s="6" t="b">
        <f>SUMPRODUCT(--ISNUMBER(SEARCH(CategoriesConfig!C$3:C$12,$B391)))&gt;0</f>
        <v>0</v>
      </c>
      <c r="J391" s="6" t="b">
        <f>SUMPRODUCT(--ISNUMBER(SEARCH(CategoriesConfig!D$3:D$12,$B391)))&gt;0</f>
        <v>0</v>
      </c>
      <c r="K391" s="6" t="b">
        <f>SUMPRODUCT(--ISNUMBER(SEARCH(CategoriesConfig!E$3:E$12,$B391)))&gt;0</f>
        <v>0</v>
      </c>
      <c r="L391" s="6" t="b">
        <f>SUMPRODUCT(--ISNUMBER(SEARCH(CategoriesConfig!F$3:F$12,$B391)))&gt;0</f>
        <v>1</v>
      </c>
      <c r="M391" s="6" t="b">
        <f>SUMPRODUCT(--ISNUMBER(SEARCH(CategoriesConfig!G$3:G$12,$B391)))&gt;0</f>
        <v>0</v>
      </c>
      <c r="N391" s="6" t="b">
        <f>SUMPRODUCT(--ISNUMBER(SEARCH(CategoriesConfig!H$3:H$12,$B391)))&gt;0</f>
        <v>0</v>
      </c>
      <c r="O391" s="6" t="b">
        <f>SUMPRODUCT(--ISNUMBER(SEARCH(CategoriesConfig!I$3:I$12,$B391)))&gt;0</f>
        <v>0</v>
      </c>
      <c r="P391" s="22" t="b">
        <f t="shared" si="25"/>
        <v>0</v>
      </c>
      <c r="Q391" s="22">
        <f t="shared" si="26"/>
        <v>8</v>
      </c>
      <c r="R391" s="58"/>
      <c r="S391" s="6" t="str">
        <f t="shared" si="27"/>
        <v>F</v>
      </c>
    </row>
    <row r="392" spans="1:19" ht="13.5" thickBot="1" x14ac:dyDescent="0.25">
      <c r="A392" s="4">
        <f>DATEVALUE(DataIn!A412)</f>
        <v>42971</v>
      </c>
      <c r="B392" s="5" t="str">
        <f>DataIn!B412</f>
        <v>POS 512967XXXXXX4422 ZES*UBER INDIA S POS DEBIT</v>
      </c>
      <c r="C392" s="5" t="str">
        <f>DataIn!C412</f>
        <v>0000723600188966</v>
      </c>
      <c r="D392" s="5" t="str">
        <f>DataIn!D412</f>
        <v>24/08/17</v>
      </c>
      <c r="E392" s="5">
        <f>DataIn!E412</f>
        <v>127.89</v>
      </c>
      <c r="F392" s="5">
        <f>DataIn!F412</f>
        <v>0</v>
      </c>
      <c r="G392" s="5">
        <f>DataIn!G412</f>
        <v>95495.679999999993</v>
      </c>
      <c r="H392" s="6" t="b">
        <f>SUMPRODUCT(--ISNUMBER(SEARCH(CategoriesConfig!B$3:B$12,$B392)))&gt;0</f>
        <v>0</v>
      </c>
      <c r="I392" s="6" t="b">
        <f>SUMPRODUCT(--ISNUMBER(SEARCH(CategoriesConfig!C$3:C$12,$B392)))&gt;0</f>
        <v>1</v>
      </c>
      <c r="J392" s="6" t="b">
        <f>SUMPRODUCT(--ISNUMBER(SEARCH(CategoriesConfig!D$3:D$12,$B392)))&gt;0</f>
        <v>0</v>
      </c>
      <c r="K392" s="6" t="b">
        <f>SUMPRODUCT(--ISNUMBER(SEARCH(CategoriesConfig!E$3:E$12,$B392)))&gt;0</f>
        <v>0</v>
      </c>
      <c r="L392" s="6" t="b">
        <f>SUMPRODUCT(--ISNUMBER(SEARCH(CategoriesConfig!F$3:F$12,$B392)))&gt;0</f>
        <v>0</v>
      </c>
      <c r="M392" s="6" t="b">
        <f>SUMPRODUCT(--ISNUMBER(SEARCH(CategoriesConfig!G$3:G$12,$B392)))&gt;0</f>
        <v>0</v>
      </c>
      <c r="N392" s="6" t="b">
        <f>SUMPRODUCT(--ISNUMBER(SEARCH(CategoriesConfig!H$3:H$12,$B392)))&gt;0</f>
        <v>0</v>
      </c>
      <c r="O392" s="6" t="b">
        <f>SUMPRODUCT(--ISNUMBER(SEARCH(CategoriesConfig!I$3:I$12,$B392)))&gt;0</f>
        <v>0</v>
      </c>
      <c r="P392" s="22" t="b">
        <f t="shared" si="25"/>
        <v>0</v>
      </c>
      <c r="Q392" s="22">
        <f t="shared" si="26"/>
        <v>8</v>
      </c>
      <c r="R392" s="58"/>
      <c r="S392" s="6" t="str">
        <f t="shared" si="27"/>
        <v>U</v>
      </c>
    </row>
    <row r="393" spans="1:19" ht="13.5" thickBot="1" x14ac:dyDescent="0.25">
      <c r="A393" s="4">
        <f>DATEVALUE(DataIn!A413)</f>
        <v>42972</v>
      </c>
      <c r="B393" s="5" t="str">
        <f>DataIn!B413</f>
        <v>POS 512967XXXXXX4422 PAYU-WWW.SWIGGY. POS DEBIT</v>
      </c>
      <c r="C393" s="5" t="str">
        <f>DataIn!C413</f>
        <v>0000030012384812</v>
      </c>
      <c r="D393" s="5" t="str">
        <f>DataIn!D413</f>
        <v>25/08/17</v>
      </c>
      <c r="E393" s="5">
        <f>DataIn!E413</f>
        <v>439</v>
      </c>
      <c r="F393" s="5">
        <f>DataIn!F413</f>
        <v>0</v>
      </c>
      <c r="G393" s="5">
        <f>DataIn!G413</f>
        <v>95056.68</v>
      </c>
      <c r="H393" s="6" t="b">
        <f>SUMPRODUCT(--ISNUMBER(SEARCH(CategoriesConfig!B$3:B$12,$B393)))&gt;0</f>
        <v>0</v>
      </c>
      <c r="I393" s="6" t="b">
        <f>SUMPRODUCT(--ISNUMBER(SEARCH(CategoriesConfig!C$3:C$12,$B393)))&gt;0</f>
        <v>0</v>
      </c>
      <c r="J393" s="6" t="b">
        <f>SUMPRODUCT(--ISNUMBER(SEARCH(CategoriesConfig!D$3:D$12,$B393)))&gt;0</f>
        <v>0</v>
      </c>
      <c r="K393" s="6" t="b">
        <f>SUMPRODUCT(--ISNUMBER(SEARCH(CategoriesConfig!E$3:E$12,$B393)))&gt;0</f>
        <v>0</v>
      </c>
      <c r="L393" s="6" t="b">
        <f>SUMPRODUCT(--ISNUMBER(SEARCH(CategoriesConfig!F$3:F$12,$B393)))&gt;0</f>
        <v>1</v>
      </c>
      <c r="M393" s="6" t="b">
        <f>SUMPRODUCT(--ISNUMBER(SEARCH(CategoriesConfig!G$3:G$12,$B393)))&gt;0</f>
        <v>0</v>
      </c>
      <c r="N393" s="6" t="b">
        <f>SUMPRODUCT(--ISNUMBER(SEARCH(CategoriesConfig!H$3:H$12,$B393)))&gt;0</f>
        <v>0</v>
      </c>
      <c r="O393" s="6" t="b">
        <f>SUMPRODUCT(--ISNUMBER(SEARCH(CategoriesConfig!I$3:I$12,$B393)))&gt;0</f>
        <v>0</v>
      </c>
      <c r="P393" s="22" t="b">
        <f t="shared" si="25"/>
        <v>0</v>
      </c>
      <c r="Q393" s="22">
        <f t="shared" si="26"/>
        <v>8</v>
      </c>
      <c r="R393" s="58"/>
      <c r="S393" s="6" t="str">
        <f t="shared" si="27"/>
        <v>F</v>
      </c>
    </row>
    <row r="394" spans="1:19" ht="13.5" thickBot="1" x14ac:dyDescent="0.25">
      <c r="A394" s="4">
        <f>DATEVALUE(DataIn!A414)</f>
        <v>42972</v>
      </c>
      <c r="B394" s="5" t="str">
        <f>DataIn!B414</f>
        <v>POS 512967XXXXXX4422 CAFE COFFEE DAY POS DEBIT</v>
      </c>
      <c r="C394" s="5" t="str">
        <f>DataIn!C414</f>
        <v>0000000000481679</v>
      </c>
      <c r="D394" s="5" t="str">
        <f>DataIn!D414</f>
        <v>25/08/17</v>
      </c>
      <c r="E394" s="5">
        <f>DataIn!E414</f>
        <v>186</v>
      </c>
      <c r="F394" s="5">
        <f>DataIn!F414</f>
        <v>0</v>
      </c>
      <c r="G394" s="5">
        <f>DataIn!G414</f>
        <v>94870.68</v>
      </c>
      <c r="H394" s="6" t="b">
        <f>SUMPRODUCT(--ISNUMBER(SEARCH(CategoriesConfig!B$3:B$12,$B394)))&gt;0</f>
        <v>0</v>
      </c>
      <c r="I394" s="6" t="b">
        <f>SUMPRODUCT(--ISNUMBER(SEARCH(CategoriesConfig!C$3:C$12,$B394)))&gt;0</f>
        <v>0</v>
      </c>
      <c r="J394" s="6" t="b">
        <f>SUMPRODUCT(--ISNUMBER(SEARCH(CategoriesConfig!D$3:D$12,$B394)))&gt;0</f>
        <v>0</v>
      </c>
      <c r="K394" s="6" t="b">
        <f>SUMPRODUCT(--ISNUMBER(SEARCH(CategoriesConfig!E$3:E$12,$B394)))&gt;0</f>
        <v>0</v>
      </c>
      <c r="L394" s="6" t="b">
        <f>SUMPRODUCT(--ISNUMBER(SEARCH(CategoriesConfig!F$3:F$12,$B394)))&gt;0</f>
        <v>1</v>
      </c>
      <c r="M394" s="6" t="b">
        <f>SUMPRODUCT(--ISNUMBER(SEARCH(CategoriesConfig!G$3:G$12,$B394)))&gt;0</f>
        <v>0</v>
      </c>
      <c r="N394" s="6" t="b">
        <f>SUMPRODUCT(--ISNUMBER(SEARCH(CategoriesConfig!H$3:H$12,$B394)))&gt;0</f>
        <v>0</v>
      </c>
      <c r="O394" s="6" t="b">
        <f>SUMPRODUCT(--ISNUMBER(SEARCH(CategoriesConfig!I$3:I$12,$B394)))&gt;0</f>
        <v>0</v>
      </c>
      <c r="P394" s="22" t="b">
        <f t="shared" si="25"/>
        <v>0</v>
      </c>
      <c r="Q394" s="22">
        <f t="shared" si="26"/>
        <v>8</v>
      </c>
      <c r="R394" s="58"/>
      <c r="S394" s="6" t="str">
        <f t="shared" si="27"/>
        <v>F</v>
      </c>
    </row>
    <row r="395" spans="1:19" ht="13.5" thickBot="1" x14ac:dyDescent="0.25">
      <c r="A395" s="4">
        <f>DATEVALUE(DataIn!A415)</f>
        <v>42972</v>
      </c>
      <c r="B395" s="5" t="str">
        <f>DataIn!B415</f>
        <v>POS 512967XXXXXX4422 FINE FOOD AND HO POS DEBIT</v>
      </c>
      <c r="C395" s="5" t="str">
        <f>DataIn!C415</f>
        <v>0000000000011217</v>
      </c>
      <c r="D395" s="5" t="str">
        <f>DataIn!D415</f>
        <v>25/08/17</v>
      </c>
      <c r="E395" s="5">
        <f>DataIn!E415</f>
        <v>760</v>
      </c>
      <c r="F395" s="5">
        <f>DataIn!F415</f>
        <v>0</v>
      </c>
      <c r="G395" s="5">
        <f>DataIn!G415</f>
        <v>94110.68</v>
      </c>
      <c r="H395" s="6" t="b">
        <f>SUMPRODUCT(--ISNUMBER(SEARCH(CategoriesConfig!B$3:B$12,$B395)))&gt;0</f>
        <v>0</v>
      </c>
      <c r="I395" s="6" t="b">
        <f>SUMPRODUCT(--ISNUMBER(SEARCH(CategoriesConfig!C$3:C$12,$B395)))&gt;0</f>
        <v>0</v>
      </c>
      <c r="J395" s="6" t="b">
        <f>SUMPRODUCT(--ISNUMBER(SEARCH(CategoriesConfig!D$3:D$12,$B395)))&gt;0</f>
        <v>0</v>
      </c>
      <c r="K395" s="6" t="b">
        <f>SUMPRODUCT(--ISNUMBER(SEARCH(CategoriesConfig!E$3:E$12,$B395)))&gt;0</f>
        <v>0</v>
      </c>
      <c r="L395" s="6" t="b">
        <f>SUMPRODUCT(--ISNUMBER(SEARCH(CategoriesConfig!F$3:F$12,$B395)))&gt;0</f>
        <v>0</v>
      </c>
      <c r="M395" s="6" t="b">
        <f>SUMPRODUCT(--ISNUMBER(SEARCH(CategoriesConfig!G$3:G$12,$B395)))&gt;0</f>
        <v>0</v>
      </c>
      <c r="N395" s="6" t="b">
        <f>SUMPRODUCT(--ISNUMBER(SEARCH(CategoriesConfig!H$3:H$12,$B395)))&gt;0</f>
        <v>0</v>
      </c>
      <c r="O395" s="6" t="b">
        <f>SUMPRODUCT(--ISNUMBER(SEARCH(CategoriesConfig!I$3:I$12,$B395)))&gt;0</f>
        <v>0</v>
      </c>
      <c r="P395" s="22" t="b">
        <f t="shared" si="25"/>
        <v>1</v>
      </c>
      <c r="Q395" s="22">
        <f t="shared" si="26"/>
        <v>8</v>
      </c>
      <c r="R395" s="58" t="s">
        <v>221</v>
      </c>
      <c r="S395" s="6" t="str">
        <f t="shared" si="27"/>
        <v>F</v>
      </c>
    </row>
    <row r="396" spans="1:19" ht="13.5" thickBot="1" x14ac:dyDescent="0.25">
      <c r="A396" s="4">
        <f>DATEVALUE(DataIn!A416)</f>
        <v>42973</v>
      </c>
      <c r="B396" s="5" t="str">
        <f>DataIn!B416</f>
        <v>POS 512967XXXXXX4422 FINE FOOD AND POS DEBIT</v>
      </c>
      <c r="C396" s="5" t="str">
        <f>DataIn!C416</f>
        <v>0000000000009974</v>
      </c>
      <c r="D396" s="5" t="str">
        <f>DataIn!D416</f>
        <v>26/08/17</v>
      </c>
      <c r="E396" s="5">
        <f>DataIn!E416</f>
        <v>990</v>
      </c>
      <c r="F396" s="5">
        <f>DataIn!F416</f>
        <v>0</v>
      </c>
      <c r="G396" s="5">
        <f>DataIn!G416</f>
        <v>93120.68</v>
      </c>
      <c r="H396" s="6" t="b">
        <f>SUMPRODUCT(--ISNUMBER(SEARCH(CategoriesConfig!B$3:B$12,$B396)))&gt;0</f>
        <v>0</v>
      </c>
      <c r="I396" s="6" t="b">
        <f>SUMPRODUCT(--ISNUMBER(SEARCH(CategoriesConfig!C$3:C$12,$B396)))&gt;0</f>
        <v>0</v>
      </c>
      <c r="J396" s="6" t="b">
        <f>SUMPRODUCT(--ISNUMBER(SEARCH(CategoriesConfig!D$3:D$12,$B396)))&gt;0</f>
        <v>0</v>
      </c>
      <c r="K396" s="6" t="b">
        <f>SUMPRODUCT(--ISNUMBER(SEARCH(CategoriesConfig!E$3:E$12,$B396)))&gt;0</f>
        <v>0</v>
      </c>
      <c r="L396" s="6" t="b">
        <f>SUMPRODUCT(--ISNUMBER(SEARCH(CategoriesConfig!F$3:F$12,$B396)))&gt;0</f>
        <v>0</v>
      </c>
      <c r="M396" s="6" t="b">
        <f>SUMPRODUCT(--ISNUMBER(SEARCH(CategoriesConfig!G$3:G$12,$B396)))&gt;0</f>
        <v>0</v>
      </c>
      <c r="N396" s="6" t="b">
        <f>SUMPRODUCT(--ISNUMBER(SEARCH(CategoriesConfig!H$3:H$12,$B396)))&gt;0</f>
        <v>0</v>
      </c>
      <c r="O396" s="6" t="b">
        <f>SUMPRODUCT(--ISNUMBER(SEARCH(CategoriesConfig!I$3:I$12,$B396)))&gt;0</f>
        <v>0</v>
      </c>
      <c r="P396" s="22" t="b">
        <f t="shared" si="25"/>
        <v>1</v>
      </c>
      <c r="Q396" s="22">
        <f t="shared" si="26"/>
        <v>8</v>
      </c>
      <c r="R396" s="58" t="s">
        <v>221</v>
      </c>
      <c r="S396" s="6" t="str">
        <f t="shared" si="27"/>
        <v>F</v>
      </c>
    </row>
    <row r="397" spans="1:19" ht="13.5" thickBot="1" x14ac:dyDescent="0.25">
      <c r="A397" s="4">
        <f>DATEVALUE(DataIn!A417)</f>
        <v>42973</v>
      </c>
      <c r="B397" s="5" t="str">
        <f>DataIn!B417</f>
        <v>POS 512967XXXXXX4422 ZES*UBER INDIA S POS DEBIT</v>
      </c>
      <c r="C397" s="5" t="str">
        <f>DataIn!C417</f>
        <v>0000723840003199</v>
      </c>
      <c r="D397" s="5" t="str">
        <f>DataIn!D417</f>
        <v>26/08/17</v>
      </c>
      <c r="E397" s="5">
        <f>DataIn!E417</f>
        <v>108.87</v>
      </c>
      <c r="F397" s="5">
        <f>DataIn!F417</f>
        <v>0</v>
      </c>
      <c r="G397" s="5">
        <f>DataIn!G417</f>
        <v>93011.81</v>
      </c>
      <c r="H397" s="6" t="b">
        <f>SUMPRODUCT(--ISNUMBER(SEARCH(CategoriesConfig!B$3:B$12,$B397)))&gt;0</f>
        <v>0</v>
      </c>
      <c r="I397" s="6" t="b">
        <f>SUMPRODUCT(--ISNUMBER(SEARCH(CategoriesConfig!C$3:C$12,$B397)))&gt;0</f>
        <v>1</v>
      </c>
      <c r="J397" s="6" t="b">
        <f>SUMPRODUCT(--ISNUMBER(SEARCH(CategoriesConfig!D$3:D$12,$B397)))&gt;0</f>
        <v>0</v>
      </c>
      <c r="K397" s="6" t="b">
        <f>SUMPRODUCT(--ISNUMBER(SEARCH(CategoriesConfig!E$3:E$12,$B397)))&gt;0</f>
        <v>0</v>
      </c>
      <c r="L397" s="6" t="b">
        <f>SUMPRODUCT(--ISNUMBER(SEARCH(CategoriesConfig!F$3:F$12,$B397)))&gt;0</f>
        <v>0</v>
      </c>
      <c r="M397" s="6" t="b">
        <f>SUMPRODUCT(--ISNUMBER(SEARCH(CategoriesConfig!G$3:G$12,$B397)))&gt;0</f>
        <v>0</v>
      </c>
      <c r="N397" s="6" t="b">
        <f>SUMPRODUCT(--ISNUMBER(SEARCH(CategoriesConfig!H$3:H$12,$B397)))&gt;0</f>
        <v>0</v>
      </c>
      <c r="O397" s="6" t="b">
        <f>SUMPRODUCT(--ISNUMBER(SEARCH(CategoriesConfig!I$3:I$12,$B397)))&gt;0</f>
        <v>0</v>
      </c>
      <c r="P397" s="22" t="b">
        <f t="shared" si="25"/>
        <v>0</v>
      </c>
      <c r="Q397" s="22">
        <f t="shared" si="26"/>
        <v>8</v>
      </c>
      <c r="R397" s="58"/>
      <c r="S397" s="6" t="str">
        <f t="shared" si="27"/>
        <v>U</v>
      </c>
    </row>
    <row r="398" spans="1:19" ht="13.5" thickBot="1" x14ac:dyDescent="0.25">
      <c r="A398" s="4">
        <f>DATEVALUE(DataIn!A418)</f>
        <v>42973</v>
      </c>
      <c r="B398" s="5" t="str">
        <f>DataIn!B418</f>
        <v>POS 512967XXXXXX4422 ZES*UBER INDIA S POS DEBIT</v>
      </c>
      <c r="C398" s="5" t="str">
        <f>DataIn!C418</f>
        <v>0000723840006094</v>
      </c>
      <c r="D398" s="5" t="str">
        <f>DataIn!D418</f>
        <v>26/08/17</v>
      </c>
      <c r="E398" s="5">
        <f>DataIn!E418</f>
        <v>52.5</v>
      </c>
      <c r="F398" s="5">
        <f>DataIn!F418</f>
        <v>0</v>
      </c>
      <c r="G398" s="5">
        <f>DataIn!G418</f>
        <v>92959.31</v>
      </c>
      <c r="H398" s="6" t="b">
        <f>SUMPRODUCT(--ISNUMBER(SEARCH(CategoriesConfig!B$3:B$12,$B398)))&gt;0</f>
        <v>0</v>
      </c>
      <c r="I398" s="6" t="b">
        <f>SUMPRODUCT(--ISNUMBER(SEARCH(CategoriesConfig!C$3:C$12,$B398)))&gt;0</f>
        <v>1</v>
      </c>
      <c r="J398" s="6" t="b">
        <f>SUMPRODUCT(--ISNUMBER(SEARCH(CategoriesConfig!D$3:D$12,$B398)))&gt;0</f>
        <v>0</v>
      </c>
      <c r="K398" s="6" t="b">
        <f>SUMPRODUCT(--ISNUMBER(SEARCH(CategoriesConfig!E$3:E$12,$B398)))&gt;0</f>
        <v>0</v>
      </c>
      <c r="L398" s="6" t="b">
        <f>SUMPRODUCT(--ISNUMBER(SEARCH(CategoriesConfig!F$3:F$12,$B398)))&gt;0</f>
        <v>0</v>
      </c>
      <c r="M398" s="6" t="b">
        <f>SUMPRODUCT(--ISNUMBER(SEARCH(CategoriesConfig!G$3:G$12,$B398)))&gt;0</f>
        <v>0</v>
      </c>
      <c r="N398" s="6" t="b">
        <f>SUMPRODUCT(--ISNUMBER(SEARCH(CategoriesConfig!H$3:H$12,$B398)))&gt;0</f>
        <v>0</v>
      </c>
      <c r="O398" s="6" t="b">
        <f>SUMPRODUCT(--ISNUMBER(SEARCH(CategoriesConfig!I$3:I$12,$B398)))&gt;0</f>
        <v>0</v>
      </c>
      <c r="P398" s="22" t="b">
        <f t="shared" si="25"/>
        <v>0</v>
      </c>
      <c r="Q398" s="22">
        <f t="shared" si="26"/>
        <v>8</v>
      </c>
      <c r="R398" s="58"/>
      <c r="S398" s="6" t="str">
        <f t="shared" si="27"/>
        <v>U</v>
      </c>
    </row>
    <row r="399" spans="1:19" ht="13.5" thickBot="1" x14ac:dyDescent="0.25">
      <c r="A399" s="4">
        <f>DATEVALUE(DataIn!A419)</f>
        <v>42973</v>
      </c>
      <c r="B399" s="5" t="str">
        <f>DataIn!B419</f>
        <v>POS 512967XXXXXX4422 PAYU-WWW.SWIGGY. POS DEBIT</v>
      </c>
      <c r="C399" s="5" t="str">
        <f>DataIn!C419</f>
        <v>0000040018408485</v>
      </c>
      <c r="D399" s="5" t="str">
        <f>DataIn!D419</f>
        <v>26/08/17</v>
      </c>
      <c r="E399" s="5">
        <f>DataIn!E419</f>
        <v>558</v>
      </c>
      <c r="F399" s="5">
        <f>DataIn!F419</f>
        <v>0</v>
      </c>
      <c r="G399" s="5">
        <f>DataIn!G419</f>
        <v>92401.31</v>
      </c>
      <c r="H399" s="6" t="b">
        <f>SUMPRODUCT(--ISNUMBER(SEARCH(CategoriesConfig!B$3:B$12,$B399)))&gt;0</f>
        <v>0</v>
      </c>
      <c r="I399" s="6" t="b">
        <f>SUMPRODUCT(--ISNUMBER(SEARCH(CategoriesConfig!C$3:C$12,$B399)))&gt;0</f>
        <v>0</v>
      </c>
      <c r="J399" s="6" t="b">
        <f>SUMPRODUCT(--ISNUMBER(SEARCH(CategoriesConfig!D$3:D$12,$B399)))&gt;0</f>
        <v>0</v>
      </c>
      <c r="K399" s="6" t="b">
        <f>SUMPRODUCT(--ISNUMBER(SEARCH(CategoriesConfig!E$3:E$12,$B399)))&gt;0</f>
        <v>0</v>
      </c>
      <c r="L399" s="6" t="b">
        <f>SUMPRODUCT(--ISNUMBER(SEARCH(CategoriesConfig!F$3:F$12,$B399)))&gt;0</f>
        <v>1</v>
      </c>
      <c r="M399" s="6" t="b">
        <f>SUMPRODUCT(--ISNUMBER(SEARCH(CategoriesConfig!G$3:G$12,$B399)))&gt;0</f>
        <v>0</v>
      </c>
      <c r="N399" s="6" t="b">
        <f>SUMPRODUCT(--ISNUMBER(SEARCH(CategoriesConfig!H$3:H$12,$B399)))&gt;0</f>
        <v>0</v>
      </c>
      <c r="O399" s="6" t="b">
        <f>SUMPRODUCT(--ISNUMBER(SEARCH(CategoriesConfig!I$3:I$12,$B399)))&gt;0</f>
        <v>0</v>
      </c>
      <c r="P399" s="22" t="b">
        <f t="shared" si="25"/>
        <v>0</v>
      </c>
      <c r="Q399" s="22">
        <f t="shared" si="26"/>
        <v>8</v>
      </c>
      <c r="R399" s="58"/>
      <c r="S399" s="6" t="str">
        <f t="shared" si="27"/>
        <v>F</v>
      </c>
    </row>
    <row r="400" spans="1:19" ht="13.5" thickBot="1" x14ac:dyDescent="0.25">
      <c r="A400" s="4">
        <f>DATEVALUE(DataIn!A420)</f>
        <v>42973</v>
      </c>
      <c r="B400" s="5" t="str">
        <f>DataIn!B420</f>
        <v>POS 512967XXXXXX4422 PAYU-WWW.SWIGGY. POS DEBIT</v>
      </c>
      <c r="C400" s="5" t="str">
        <f>DataIn!C420</f>
        <v>0000010026077451</v>
      </c>
      <c r="D400" s="5" t="str">
        <f>DataIn!D420</f>
        <v>26/08/17</v>
      </c>
      <c r="E400" s="5">
        <f>DataIn!E420</f>
        <v>994</v>
      </c>
      <c r="F400" s="5">
        <f>DataIn!F420</f>
        <v>0</v>
      </c>
      <c r="G400" s="5">
        <f>DataIn!G420</f>
        <v>91407.31</v>
      </c>
      <c r="H400" s="6" t="b">
        <f>SUMPRODUCT(--ISNUMBER(SEARCH(CategoriesConfig!B$3:B$12,$B400)))&gt;0</f>
        <v>0</v>
      </c>
      <c r="I400" s="6" t="b">
        <f>SUMPRODUCT(--ISNUMBER(SEARCH(CategoriesConfig!C$3:C$12,$B400)))&gt;0</f>
        <v>0</v>
      </c>
      <c r="J400" s="6" t="b">
        <f>SUMPRODUCT(--ISNUMBER(SEARCH(CategoriesConfig!D$3:D$12,$B400)))&gt;0</f>
        <v>0</v>
      </c>
      <c r="K400" s="6" t="b">
        <f>SUMPRODUCT(--ISNUMBER(SEARCH(CategoriesConfig!E$3:E$12,$B400)))&gt;0</f>
        <v>0</v>
      </c>
      <c r="L400" s="6" t="b">
        <f>SUMPRODUCT(--ISNUMBER(SEARCH(CategoriesConfig!F$3:F$12,$B400)))&gt;0</f>
        <v>1</v>
      </c>
      <c r="M400" s="6" t="b">
        <f>SUMPRODUCT(--ISNUMBER(SEARCH(CategoriesConfig!G$3:G$12,$B400)))&gt;0</f>
        <v>0</v>
      </c>
      <c r="N400" s="6" t="b">
        <f>SUMPRODUCT(--ISNUMBER(SEARCH(CategoriesConfig!H$3:H$12,$B400)))&gt;0</f>
        <v>0</v>
      </c>
      <c r="O400" s="6" t="b">
        <f>SUMPRODUCT(--ISNUMBER(SEARCH(CategoriesConfig!I$3:I$12,$B400)))&gt;0</f>
        <v>0</v>
      </c>
      <c r="P400" s="22" t="b">
        <f t="shared" si="25"/>
        <v>0</v>
      </c>
      <c r="Q400" s="22">
        <f t="shared" si="26"/>
        <v>8</v>
      </c>
      <c r="R400" s="58"/>
      <c r="S400" s="6" t="str">
        <f t="shared" si="27"/>
        <v>F</v>
      </c>
    </row>
    <row r="401" spans="1:19" ht="13.5" thickBot="1" x14ac:dyDescent="0.25">
      <c r="A401" s="4">
        <f>DATEVALUE(DataIn!A421)</f>
        <v>42974</v>
      </c>
      <c r="B401" s="5" t="str">
        <f>DataIn!B421</f>
        <v>POS 512967XXXXXX4422 PAYU-WWW.SWIGGY. POS DEBIT</v>
      </c>
      <c r="C401" s="5" t="str">
        <f>DataIn!C421</f>
        <v>0000010026106925</v>
      </c>
      <c r="D401" s="5" t="str">
        <f>DataIn!D421</f>
        <v>27/08/17</v>
      </c>
      <c r="E401" s="5">
        <f>DataIn!E421</f>
        <v>555</v>
      </c>
      <c r="F401" s="5">
        <f>DataIn!F421</f>
        <v>0</v>
      </c>
      <c r="G401" s="5">
        <f>DataIn!G421</f>
        <v>90852.31</v>
      </c>
      <c r="H401" s="6" t="b">
        <f>SUMPRODUCT(--ISNUMBER(SEARCH(CategoriesConfig!B$3:B$12,$B401)))&gt;0</f>
        <v>0</v>
      </c>
      <c r="I401" s="6" t="b">
        <f>SUMPRODUCT(--ISNUMBER(SEARCH(CategoriesConfig!C$3:C$12,$B401)))&gt;0</f>
        <v>0</v>
      </c>
      <c r="J401" s="6" t="b">
        <f>SUMPRODUCT(--ISNUMBER(SEARCH(CategoriesConfig!D$3:D$12,$B401)))&gt;0</f>
        <v>0</v>
      </c>
      <c r="K401" s="6" t="b">
        <f>SUMPRODUCT(--ISNUMBER(SEARCH(CategoriesConfig!E$3:E$12,$B401)))&gt;0</f>
        <v>0</v>
      </c>
      <c r="L401" s="6" t="b">
        <f>SUMPRODUCT(--ISNUMBER(SEARCH(CategoriesConfig!F$3:F$12,$B401)))&gt;0</f>
        <v>1</v>
      </c>
      <c r="M401" s="6" t="b">
        <f>SUMPRODUCT(--ISNUMBER(SEARCH(CategoriesConfig!G$3:G$12,$B401)))&gt;0</f>
        <v>0</v>
      </c>
      <c r="N401" s="6" t="b">
        <f>SUMPRODUCT(--ISNUMBER(SEARCH(CategoriesConfig!H$3:H$12,$B401)))&gt;0</f>
        <v>0</v>
      </c>
      <c r="O401" s="6" t="b">
        <f>SUMPRODUCT(--ISNUMBER(SEARCH(CategoriesConfig!I$3:I$12,$B401)))&gt;0</f>
        <v>0</v>
      </c>
      <c r="P401" s="22" t="b">
        <f t="shared" si="25"/>
        <v>0</v>
      </c>
      <c r="Q401" s="22">
        <f t="shared" si="26"/>
        <v>8</v>
      </c>
      <c r="R401" s="58"/>
      <c r="S401" s="6" t="str">
        <f t="shared" si="27"/>
        <v>F</v>
      </c>
    </row>
    <row r="402" spans="1:19" ht="13.5" thickBot="1" x14ac:dyDescent="0.25">
      <c r="A402" s="4">
        <f>DATEVALUE(DataIn!A422)</f>
        <v>42975</v>
      </c>
      <c r="B402" s="5" t="str">
        <f>DataIn!B422</f>
        <v>POS 512967XXXXXX4422 CELEBRATIONS, POS DEBIT</v>
      </c>
      <c r="C402" s="5" t="str">
        <f>DataIn!C422</f>
        <v>0000000000027323</v>
      </c>
      <c r="D402" s="5" t="str">
        <f>DataIn!D422</f>
        <v>28/08/17</v>
      </c>
      <c r="E402" s="5">
        <f>DataIn!E422</f>
        <v>94</v>
      </c>
      <c r="F402" s="5">
        <f>DataIn!F422</f>
        <v>0</v>
      </c>
      <c r="G402" s="5">
        <f>DataIn!G422</f>
        <v>90758.31</v>
      </c>
      <c r="H402" s="6" t="b">
        <f>SUMPRODUCT(--ISNUMBER(SEARCH(CategoriesConfig!B$3:B$12,$B402)))&gt;0</f>
        <v>0</v>
      </c>
      <c r="I402" s="6" t="b">
        <f>SUMPRODUCT(--ISNUMBER(SEARCH(CategoriesConfig!C$3:C$12,$B402)))&gt;0</f>
        <v>0</v>
      </c>
      <c r="J402" s="6" t="b">
        <f>SUMPRODUCT(--ISNUMBER(SEARCH(CategoriesConfig!D$3:D$12,$B402)))&gt;0</f>
        <v>1</v>
      </c>
      <c r="K402" s="6" t="b">
        <f>SUMPRODUCT(--ISNUMBER(SEARCH(CategoriesConfig!E$3:E$12,$B402)))&gt;0</f>
        <v>0</v>
      </c>
      <c r="L402" s="6" t="b">
        <f>SUMPRODUCT(--ISNUMBER(SEARCH(CategoriesConfig!F$3:F$12,$B402)))&gt;0</f>
        <v>0</v>
      </c>
      <c r="M402" s="6" t="b">
        <f>SUMPRODUCT(--ISNUMBER(SEARCH(CategoriesConfig!G$3:G$12,$B402)))&gt;0</f>
        <v>0</v>
      </c>
      <c r="N402" s="6" t="b">
        <f>SUMPRODUCT(--ISNUMBER(SEARCH(CategoriesConfig!H$3:H$12,$B402)))&gt;0</f>
        <v>0</v>
      </c>
      <c r="O402" s="6" t="b">
        <f>SUMPRODUCT(--ISNUMBER(SEARCH(CategoriesConfig!I$3:I$12,$B402)))&gt;0</f>
        <v>0</v>
      </c>
      <c r="P402" s="22" t="b">
        <f t="shared" si="25"/>
        <v>0</v>
      </c>
      <c r="Q402" s="22">
        <f t="shared" si="26"/>
        <v>8</v>
      </c>
      <c r="R402" s="58"/>
      <c r="S402" s="6" t="str">
        <f t="shared" si="27"/>
        <v>L</v>
      </c>
    </row>
    <row r="403" spans="1:19" ht="13.5" thickBot="1" x14ac:dyDescent="0.25">
      <c r="A403" s="4">
        <f>DATEVALUE(DataIn!A423)</f>
        <v>42975</v>
      </c>
      <c r="B403" s="5" t="str">
        <f>DataIn!B423</f>
        <v>POS 512967XXXXXX4422 ZES*UBER INDIA S POS DEBIT</v>
      </c>
      <c r="C403" s="5" t="str">
        <f>DataIn!C423</f>
        <v>0000724000099816</v>
      </c>
      <c r="D403" s="5" t="str">
        <f>DataIn!D423</f>
        <v>28/08/17</v>
      </c>
      <c r="E403" s="5">
        <f>DataIn!E423</f>
        <v>136.57</v>
      </c>
      <c r="F403" s="5">
        <f>DataIn!F423</f>
        <v>0</v>
      </c>
      <c r="G403" s="5">
        <f>DataIn!G423</f>
        <v>90621.74</v>
      </c>
      <c r="H403" s="6" t="b">
        <f>SUMPRODUCT(--ISNUMBER(SEARCH(CategoriesConfig!B$3:B$12,$B403)))&gt;0</f>
        <v>0</v>
      </c>
      <c r="I403" s="6" t="b">
        <f>SUMPRODUCT(--ISNUMBER(SEARCH(CategoriesConfig!C$3:C$12,$B403)))&gt;0</f>
        <v>1</v>
      </c>
      <c r="J403" s="6" t="b">
        <f>SUMPRODUCT(--ISNUMBER(SEARCH(CategoriesConfig!D$3:D$12,$B403)))&gt;0</f>
        <v>0</v>
      </c>
      <c r="K403" s="6" t="b">
        <f>SUMPRODUCT(--ISNUMBER(SEARCH(CategoriesConfig!E$3:E$12,$B403)))&gt;0</f>
        <v>0</v>
      </c>
      <c r="L403" s="6" t="b">
        <f>SUMPRODUCT(--ISNUMBER(SEARCH(CategoriesConfig!F$3:F$12,$B403)))&gt;0</f>
        <v>0</v>
      </c>
      <c r="M403" s="6" t="b">
        <f>SUMPRODUCT(--ISNUMBER(SEARCH(CategoriesConfig!G$3:G$12,$B403)))&gt;0</f>
        <v>0</v>
      </c>
      <c r="N403" s="6" t="b">
        <f>SUMPRODUCT(--ISNUMBER(SEARCH(CategoriesConfig!H$3:H$12,$B403)))&gt;0</f>
        <v>0</v>
      </c>
      <c r="O403" s="6" t="b">
        <f>SUMPRODUCT(--ISNUMBER(SEARCH(CategoriesConfig!I$3:I$12,$B403)))&gt;0</f>
        <v>0</v>
      </c>
      <c r="P403" s="22" t="b">
        <f t="shared" si="25"/>
        <v>0</v>
      </c>
      <c r="Q403" s="22">
        <f t="shared" si="26"/>
        <v>8</v>
      </c>
      <c r="R403" s="58"/>
      <c r="S403" s="6" t="str">
        <f t="shared" si="27"/>
        <v>U</v>
      </c>
    </row>
    <row r="404" spans="1:19" ht="13.5" thickBot="1" x14ac:dyDescent="0.25">
      <c r="A404" s="4">
        <f>DATEVALUE(DataIn!A424)</f>
        <v>42975</v>
      </c>
      <c r="B404" s="5" t="str">
        <f>DataIn!B424</f>
        <v>POS 512967XXXXXX4422 ROYAL MART-RICHM POS DEBIT</v>
      </c>
      <c r="C404" s="5" t="str">
        <f>DataIn!C424</f>
        <v>0000000000501727</v>
      </c>
      <c r="D404" s="5" t="str">
        <f>DataIn!D424</f>
        <v>28/08/17</v>
      </c>
      <c r="E404" s="5">
        <f>DataIn!E424</f>
        <v>544</v>
      </c>
      <c r="F404" s="5">
        <f>DataIn!F424</f>
        <v>0</v>
      </c>
      <c r="G404" s="5">
        <f>DataIn!G424</f>
        <v>90077.74</v>
      </c>
      <c r="H404" s="6" t="b">
        <f>SUMPRODUCT(--ISNUMBER(SEARCH(CategoriesConfig!B$3:B$12,$B404)))&gt;0</f>
        <v>0</v>
      </c>
      <c r="I404" s="6" t="b">
        <f>SUMPRODUCT(--ISNUMBER(SEARCH(CategoriesConfig!C$3:C$12,$B404)))&gt;0</f>
        <v>0</v>
      </c>
      <c r="J404" s="6" t="b">
        <f>SUMPRODUCT(--ISNUMBER(SEARCH(CategoriesConfig!D$3:D$12,$B404)))&gt;0</f>
        <v>0</v>
      </c>
      <c r="K404" s="6" t="b">
        <f>SUMPRODUCT(--ISNUMBER(SEARCH(CategoriesConfig!E$3:E$12,$B404)))&gt;0</f>
        <v>0</v>
      </c>
      <c r="L404" s="6" t="b">
        <f>SUMPRODUCT(--ISNUMBER(SEARCH(CategoriesConfig!F$3:F$12,$B404)))&gt;0</f>
        <v>0</v>
      </c>
      <c r="M404" s="6" t="b">
        <f>SUMPRODUCT(--ISNUMBER(SEARCH(CategoriesConfig!G$3:G$12,$B404)))&gt;0</f>
        <v>1</v>
      </c>
      <c r="N404" s="6" t="b">
        <f>SUMPRODUCT(--ISNUMBER(SEARCH(CategoriesConfig!H$3:H$12,$B404)))&gt;0</f>
        <v>0</v>
      </c>
      <c r="O404" s="6" t="b">
        <f>SUMPRODUCT(--ISNUMBER(SEARCH(CategoriesConfig!I$3:I$12,$B404)))&gt;0</f>
        <v>0</v>
      </c>
      <c r="P404" s="22" t="b">
        <f t="shared" si="25"/>
        <v>0</v>
      </c>
      <c r="Q404" s="22">
        <f t="shared" si="26"/>
        <v>8</v>
      </c>
      <c r="R404" s="58"/>
      <c r="S404" s="6" t="str">
        <f t="shared" si="27"/>
        <v>M</v>
      </c>
    </row>
    <row r="405" spans="1:19" ht="13.5" thickBot="1" x14ac:dyDescent="0.25">
      <c r="A405" s="4">
        <f>DATEVALUE(DataIn!A425)</f>
        <v>42976</v>
      </c>
      <c r="B405" s="5" t="str">
        <f>DataIn!B425</f>
        <v>POS 512967XXXXXX4422 ZES*UBER INDIA S POS DEBIT</v>
      </c>
      <c r="C405" s="5" t="str">
        <f>DataIn!C425</f>
        <v>0000724140045589</v>
      </c>
      <c r="D405" s="5" t="str">
        <f>DataIn!D425</f>
        <v>29/08/17</v>
      </c>
      <c r="E405" s="5">
        <f>DataIn!E425</f>
        <v>225.45</v>
      </c>
      <c r="F405" s="5">
        <f>DataIn!F425</f>
        <v>0</v>
      </c>
      <c r="G405" s="5">
        <f>DataIn!G425</f>
        <v>89852.29</v>
      </c>
      <c r="H405" s="6" t="b">
        <f>SUMPRODUCT(--ISNUMBER(SEARCH(CategoriesConfig!B$3:B$12,$B405)))&gt;0</f>
        <v>0</v>
      </c>
      <c r="I405" s="6" t="b">
        <f>SUMPRODUCT(--ISNUMBER(SEARCH(CategoriesConfig!C$3:C$12,$B405)))&gt;0</f>
        <v>1</v>
      </c>
      <c r="J405" s="6" t="b">
        <f>SUMPRODUCT(--ISNUMBER(SEARCH(CategoriesConfig!D$3:D$12,$B405)))&gt;0</f>
        <v>0</v>
      </c>
      <c r="K405" s="6" t="b">
        <f>SUMPRODUCT(--ISNUMBER(SEARCH(CategoriesConfig!E$3:E$12,$B405)))&gt;0</f>
        <v>0</v>
      </c>
      <c r="L405" s="6" t="b">
        <f>SUMPRODUCT(--ISNUMBER(SEARCH(CategoriesConfig!F$3:F$12,$B405)))&gt;0</f>
        <v>0</v>
      </c>
      <c r="M405" s="6" t="b">
        <f>SUMPRODUCT(--ISNUMBER(SEARCH(CategoriesConfig!G$3:G$12,$B405)))&gt;0</f>
        <v>0</v>
      </c>
      <c r="N405" s="6" t="b">
        <f>SUMPRODUCT(--ISNUMBER(SEARCH(CategoriesConfig!H$3:H$12,$B405)))&gt;0</f>
        <v>0</v>
      </c>
      <c r="O405" s="6" t="b">
        <f>SUMPRODUCT(--ISNUMBER(SEARCH(CategoriesConfig!I$3:I$12,$B405)))&gt;0</f>
        <v>0</v>
      </c>
      <c r="P405" s="22" t="b">
        <f t="shared" si="25"/>
        <v>0</v>
      </c>
      <c r="Q405" s="22">
        <f t="shared" si="26"/>
        <v>8</v>
      </c>
      <c r="R405" s="58"/>
      <c r="S405" s="6" t="str">
        <f t="shared" si="27"/>
        <v>U</v>
      </c>
    </row>
    <row r="406" spans="1:19" ht="13.5" thickBot="1" x14ac:dyDescent="0.25">
      <c r="A406" s="4">
        <f>DATEVALUE(DataIn!A426)</f>
        <v>42976</v>
      </c>
      <c r="B406" s="5" t="str">
        <f>DataIn!B426</f>
        <v>POS 512967XXXXXX4422 CELEBRATIONS, POS DEBIT</v>
      </c>
      <c r="C406" s="5" t="str">
        <f>DataIn!C426</f>
        <v>0000000000027619</v>
      </c>
      <c r="D406" s="5" t="str">
        <f>DataIn!D426</f>
        <v>29/08/17</v>
      </c>
      <c r="E406" s="5">
        <f>DataIn!E426</f>
        <v>94</v>
      </c>
      <c r="F406" s="5">
        <f>DataIn!F426</f>
        <v>0</v>
      </c>
      <c r="G406" s="5">
        <f>DataIn!G426</f>
        <v>89758.29</v>
      </c>
      <c r="H406" s="6" t="b">
        <f>SUMPRODUCT(--ISNUMBER(SEARCH(CategoriesConfig!B$3:B$12,$B406)))&gt;0</f>
        <v>0</v>
      </c>
      <c r="I406" s="6" t="b">
        <f>SUMPRODUCT(--ISNUMBER(SEARCH(CategoriesConfig!C$3:C$12,$B406)))&gt;0</f>
        <v>0</v>
      </c>
      <c r="J406" s="6" t="b">
        <f>SUMPRODUCT(--ISNUMBER(SEARCH(CategoriesConfig!D$3:D$12,$B406)))&gt;0</f>
        <v>1</v>
      </c>
      <c r="K406" s="6" t="b">
        <f>SUMPRODUCT(--ISNUMBER(SEARCH(CategoriesConfig!E$3:E$12,$B406)))&gt;0</f>
        <v>0</v>
      </c>
      <c r="L406" s="6" t="b">
        <f>SUMPRODUCT(--ISNUMBER(SEARCH(CategoriesConfig!F$3:F$12,$B406)))&gt;0</f>
        <v>0</v>
      </c>
      <c r="M406" s="6" t="b">
        <f>SUMPRODUCT(--ISNUMBER(SEARCH(CategoriesConfig!G$3:G$12,$B406)))&gt;0</f>
        <v>0</v>
      </c>
      <c r="N406" s="6" t="b">
        <f>SUMPRODUCT(--ISNUMBER(SEARCH(CategoriesConfig!H$3:H$12,$B406)))&gt;0</f>
        <v>0</v>
      </c>
      <c r="O406" s="6" t="b">
        <f>SUMPRODUCT(--ISNUMBER(SEARCH(CategoriesConfig!I$3:I$12,$B406)))&gt;0</f>
        <v>0</v>
      </c>
      <c r="P406" s="22" t="b">
        <f t="shared" si="25"/>
        <v>0</v>
      </c>
      <c r="Q406" s="22">
        <f t="shared" si="26"/>
        <v>8</v>
      </c>
      <c r="R406" s="58"/>
      <c r="S406" s="6" t="str">
        <f t="shared" si="27"/>
        <v>L</v>
      </c>
    </row>
    <row r="407" spans="1:19" ht="13.5" thickBot="1" x14ac:dyDescent="0.25">
      <c r="A407" s="4">
        <f>DATEVALUE(DataIn!A427)</f>
        <v>42976</v>
      </c>
      <c r="B407" s="5" t="str">
        <f>DataIn!B427</f>
        <v>POS 512967XXXXXX4422 ZES*UBER INDIA S POS DEBIT</v>
      </c>
      <c r="C407" s="5" t="str">
        <f>DataIn!C427</f>
        <v>0000724100096621</v>
      </c>
      <c r="D407" s="5" t="str">
        <f>DataIn!D427</f>
        <v>29/08/17</v>
      </c>
      <c r="E407" s="5">
        <f>DataIn!E427</f>
        <v>221.57</v>
      </c>
      <c r="F407" s="5">
        <f>DataIn!F427</f>
        <v>0</v>
      </c>
      <c r="G407" s="5">
        <f>DataIn!G427</f>
        <v>89536.72</v>
      </c>
      <c r="H407" s="6" t="b">
        <f>SUMPRODUCT(--ISNUMBER(SEARCH(CategoriesConfig!B$3:B$12,$B407)))&gt;0</f>
        <v>0</v>
      </c>
      <c r="I407" s="6" t="b">
        <f>SUMPRODUCT(--ISNUMBER(SEARCH(CategoriesConfig!C$3:C$12,$B407)))&gt;0</f>
        <v>1</v>
      </c>
      <c r="J407" s="6" t="b">
        <f>SUMPRODUCT(--ISNUMBER(SEARCH(CategoriesConfig!D$3:D$12,$B407)))&gt;0</f>
        <v>0</v>
      </c>
      <c r="K407" s="6" t="b">
        <f>SUMPRODUCT(--ISNUMBER(SEARCH(CategoriesConfig!E$3:E$12,$B407)))&gt;0</f>
        <v>0</v>
      </c>
      <c r="L407" s="6" t="b">
        <f>SUMPRODUCT(--ISNUMBER(SEARCH(CategoriesConfig!F$3:F$12,$B407)))&gt;0</f>
        <v>0</v>
      </c>
      <c r="M407" s="6" t="b">
        <f>SUMPRODUCT(--ISNUMBER(SEARCH(CategoriesConfig!G$3:G$12,$B407)))&gt;0</f>
        <v>0</v>
      </c>
      <c r="N407" s="6" t="b">
        <f>SUMPRODUCT(--ISNUMBER(SEARCH(CategoriesConfig!H$3:H$12,$B407)))&gt;0</f>
        <v>0</v>
      </c>
      <c r="O407" s="6" t="b">
        <f>SUMPRODUCT(--ISNUMBER(SEARCH(CategoriesConfig!I$3:I$12,$B407)))&gt;0</f>
        <v>0</v>
      </c>
      <c r="P407" s="22" t="b">
        <f t="shared" si="25"/>
        <v>0</v>
      </c>
      <c r="Q407" s="22">
        <f t="shared" si="26"/>
        <v>8</v>
      </c>
      <c r="R407" s="58"/>
      <c r="S407" s="6" t="str">
        <f t="shared" si="27"/>
        <v>U</v>
      </c>
    </row>
    <row r="408" spans="1:19" ht="13.5" thickBot="1" x14ac:dyDescent="0.25">
      <c r="A408" s="4">
        <f>DATEVALUE(DataIn!A428)</f>
        <v>42976</v>
      </c>
      <c r="B408" s="5" t="str">
        <f>DataIn!B428</f>
        <v>POS 512967XXXXXX4422 PLAN B POS DEBIT</v>
      </c>
      <c r="C408" s="5" t="str">
        <f>DataIn!C428</f>
        <v>0000000000280452</v>
      </c>
      <c r="D408" s="5" t="str">
        <f>DataIn!D428</f>
        <v>29/08/17</v>
      </c>
      <c r="E408" s="5">
        <f>DataIn!E428</f>
        <v>2051</v>
      </c>
      <c r="F408" s="5">
        <f>DataIn!F428</f>
        <v>0</v>
      </c>
      <c r="G408" s="5">
        <f>DataIn!G428</f>
        <v>87485.72</v>
      </c>
      <c r="H408" s="6" t="b">
        <f>SUMPRODUCT(--ISNUMBER(SEARCH(CategoriesConfig!B$3:B$12,$B408)))&gt;0</f>
        <v>0</v>
      </c>
      <c r="I408" s="6" t="b">
        <f>SUMPRODUCT(--ISNUMBER(SEARCH(CategoriesConfig!C$3:C$12,$B408)))&gt;0</f>
        <v>0</v>
      </c>
      <c r="J408" s="6" t="b">
        <f>SUMPRODUCT(--ISNUMBER(SEARCH(CategoriesConfig!D$3:D$12,$B408)))&gt;0</f>
        <v>0</v>
      </c>
      <c r="K408" s="6" t="b">
        <f>SUMPRODUCT(--ISNUMBER(SEARCH(CategoriesConfig!E$3:E$12,$B408)))&gt;0</f>
        <v>0</v>
      </c>
      <c r="L408" s="6" t="b">
        <f>SUMPRODUCT(--ISNUMBER(SEARCH(CategoriesConfig!F$3:F$12,$B408)))&gt;0</f>
        <v>1</v>
      </c>
      <c r="M408" s="6" t="b">
        <f>SUMPRODUCT(--ISNUMBER(SEARCH(CategoriesConfig!G$3:G$12,$B408)))&gt;0</f>
        <v>0</v>
      </c>
      <c r="N408" s="6" t="b">
        <f>SUMPRODUCT(--ISNUMBER(SEARCH(CategoriesConfig!H$3:H$12,$B408)))&gt;0</f>
        <v>0</v>
      </c>
      <c r="O408" s="6" t="b">
        <f>SUMPRODUCT(--ISNUMBER(SEARCH(CategoriesConfig!I$3:I$12,$B408)))&gt;0</f>
        <v>0</v>
      </c>
      <c r="P408" s="22" t="b">
        <f t="shared" si="25"/>
        <v>0</v>
      </c>
      <c r="Q408" s="22">
        <f t="shared" si="26"/>
        <v>8</v>
      </c>
      <c r="R408" s="58"/>
      <c r="S408" s="6" t="str">
        <f t="shared" si="27"/>
        <v>F</v>
      </c>
    </row>
    <row r="409" spans="1:19" ht="13.5" thickBot="1" x14ac:dyDescent="0.25">
      <c r="A409" s="4">
        <f>DATEVALUE(DataIn!A429)</f>
        <v>42976</v>
      </c>
      <c r="B409" s="5" t="str">
        <f>DataIn!B429</f>
        <v>POS 512967XXXXXX4422 ROYAL MART-RICHM POS DEBIT</v>
      </c>
      <c r="C409" s="5" t="str">
        <f>DataIn!C429</f>
        <v>0000000000441618</v>
      </c>
      <c r="D409" s="5" t="str">
        <f>DataIn!D429</f>
        <v>29/08/17</v>
      </c>
      <c r="E409" s="5">
        <f>DataIn!E429</f>
        <v>138</v>
      </c>
      <c r="F409" s="5">
        <f>DataIn!F429</f>
        <v>0</v>
      </c>
      <c r="G409" s="5">
        <f>DataIn!G429</f>
        <v>87347.72</v>
      </c>
      <c r="H409" s="6" t="b">
        <f>SUMPRODUCT(--ISNUMBER(SEARCH(CategoriesConfig!B$3:B$12,$B409)))&gt;0</f>
        <v>0</v>
      </c>
      <c r="I409" s="6" t="b">
        <f>SUMPRODUCT(--ISNUMBER(SEARCH(CategoriesConfig!C$3:C$12,$B409)))&gt;0</f>
        <v>0</v>
      </c>
      <c r="J409" s="6" t="b">
        <f>SUMPRODUCT(--ISNUMBER(SEARCH(CategoriesConfig!D$3:D$12,$B409)))&gt;0</f>
        <v>0</v>
      </c>
      <c r="K409" s="6" t="b">
        <f>SUMPRODUCT(--ISNUMBER(SEARCH(CategoriesConfig!E$3:E$12,$B409)))&gt;0</f>
        <v>0</v>
      </c>
      <c r="L409" s="6" t="b">
        <f>SUMPRODUCT(--ISNUMBER(SEARCH(CategoriesConfig!F$3:F$12,$B409)))&gt;0</f>
        <v>0</v>
      </c>
      <c r="M409" s="6" t="b">
        <f>SUMPRODUCT(--ISNUMBER(SEARCH(CategoriesConfig!G$3:G$12,$B409)))&gt;0</f>
        <v>1</v>
      </c>
      <c r="N409" s="6" t="b">
        <f>SUMPRODUCT(--ISNUMBER(SEARCH(CategoriesConfig!H$3:H$12,$B409)))&gt;0</f>
        <v>0</v>
      </c>
      <c r="O409" s="6" t="b">
        <f>SUMPRODUCT(--ISNUMBER(SEARCH(CategoriesConfig!I$3:I$12,$B409)))&gt;0</f>
        <v>0</v>
      </c>
      <c r="P409" s="22" t="b">
        <f t="shared" si="25"/>
        <v>0</v>
      </c>
      <c r="Q409" s="22">
        <f t="shared" si="26"/>
        <v>8</v>
      </c>
      <c r="R409" s="58"/>
      <c r="S409" s="6" t="str">
        <f t="shared" si="27"/>
        <v>M</v>
      </c>
    </row>
    <row r="410" spans="1:19" ht="13.5" thickBot="1" x14ac:dyDescent="0.25">
      <c r="A410" s="4">
        <f>DATEVALUE(DataIn!A430)</f>
        <v>42977</v>
      </c>
      <c r="B410" s="5" t="str">
        <f>DataIn!B430</f>
        <v>POS 512967XXXXXX4422 ZES*UBER INDIA S POS DEBIT</v>
      </c>
      <c r="C410" s="5" t="str">
        <f>DataIn!C430</f>
        <v>0000724200023314</v>
      </c>
      <c r="D410" s="5" t="str">
        <f>DataIn!D430</f>
        <v>30/08/17</v>
      </c>
      <c r="E410" s="5">
        <f>DataIn!E430</f>
        <v>199.68</v>
      </c>
      <c r="F410" s="5">
        <f>DataIn!F430</f>
        <v>0</v>
      </c>
      <c r="G410" s="5">
        <f>DataIn!G430</f>
        <v>87148.04</v>
      </c>
      <c r="H410" s="6" t="b">
        <f>SUMPRODUCT(--ISNUMBER(SEARCH(CategoriesConfig!B$3:B$12,$B410)))&gt;0</f>
        <v>0</v>
      </c>
      <c r="I410" s="6" t="b">
        <f>SUMPRODUCT(--ISNUMBER(SEARCH(CategoriesConfig!C$3:C$12,$B410)))&gt;0</f>
        <v>1</v>
      </c>
      <c r="J410" s="6" t="b">
        <f>SUMPRODUCT(--ISNUMBER(SEARCH(CategoriesConfig!D$3:D$12,$B410)))&gt;0</f>
        <v>0</v>
      </c>
      <c r="K410" s="6" t="b">
        <f>SUMPRODUCT(--ISNUMBER(SEARCH(CategoriesConfig!E$3:E$12,$B410)))&gt;0</f>
        <v>0</v>
      </c>
      <c r="L410" s="6" t="b">
        <f>SUMPRODUCT(--ISNUMBER(SEARCH(CategoriesConfig!F$3:F$12,$B410)))&gt;0</f>
        <v>0</v>
      </c>
      <c r="M410" s="6" t="b">
        <f>SUMPRODUCT(--ISNUMBER(SEARCH(CategoriesConfig!G$3:G$12,$B410)))&gt;0</f>
        <v>0</v>
      </c>
      <c r="N410" s="6" t="b">
        <f>SUMPRODUCT(--ISNUMBER(SEARCH(CategoriesConfig!H$3:H$12,$B410)))&gt;0</f>
        <v>0</v>
      </c>
      <c r="O410" s="6" t="b">
        <f>SUMPRODUCT(--ISNUMBER(SEARCH(CategoriesConfig!I$3:I$12,$B410)))&gt;0</f>
        <v>0</v>
      </c>
      <c r="P410" s="22" t="b">
        <f t="shared" si="25"/>
        <v>0</v>
      </c>
      <c r="Q410" s="22">
        <f t="shared" si="26"/>
        <v>8</v>
      </c>
      <c r="R410" s="58"/>
      <c r="S410" s="6" t="str">
        <f t="shared" si="27"/>
        <v>U</v>
      </c>
    </row>
    <row r="411" spans="1:19" ht="13.5" thickBot="1" x14ac:dyDescent="0.25">
      <c r="A411" s="4">
        <f>DATEVALUE(DataIn!A431)</f>
        <v>42977</v>
      </c>
      <c r="B411" s="5" t="str">
        <f>DataIn!B431</f>
        <v>POS 512967XXXXXX4422 MC DONALDS. POS DEBIT</v>
      </c>
      <c r="C411" s="5" t="str">
        <f>DataIn!C431</f>
        <v>0000000000051581</v>
      </c>
      <c r="D411" s="5" t="str">
        <f>DataIn!D431</f>
        <v>30/08/17</v>
      </c>
      <c r="E411" s="5">
        <f>DataIn!E431</f>
        <v>376</v>
      </c>
      <c r="F411" s="5">
        <f>DataIn!F431</f>
        <v>0</v>
      </c>
      <c r="G411" s="5">
        <f>DataIn!G431</f>
        <v>86772.04</v>
      </c>
      <c r="H411" s="6" t="b">
        <f>SUMPRODUCT(--ISNUMBER(SEARCH(CategoriesConfig!B$3:B$12,$B411)))&gt;0</f>
        <v>0</v>
      </c>
      <c r="I411" s="6" t="b">
        <f>SUMPRODUCT(--ISNUMBER(SEARCH(CategoriesConfig!C$3:C$12,$B411)))&gt;0</f>
        <v>0</v>
      </c>
      <c r="J411" s="6" t="b">
        <f>SUMPRODUCT(--ISNUMBER(SEARCH(CategoriesConfig!D$3:D$12,$B411)))&gt;0</f>
        <v>0</v>
      </c>
      <c r="K411" s="6" t="b">
        <f>SUMPRODUCT(--ISNUMBER(SEARCH(CategoriesConfig!E$3:E$12,$B411)))&gt;0</f>
        <v>0</v>
      </c>
      <c r="L411" s="6" t="b">
        <f>SUMPRODUCT(--ISNUMBER(SEARCH(CategoriesConfig!F$3:F$12,$B411)))&gt;0</f>
        <v>1</v>
      </c>
      <c r="M411" s="6" t="b">
        <f>SUMPRODUCT(--ISNUMBER(SEARCH(CategoriesConfig!G$3:G$12,$B411)))&gt;0</f>
        <v>0</v>
      </c>
      <c r="N411" s="6" t="b">
        <f>SUMPRODUCT(--ISNUMBER(SEARCH(CategoriesConfig!H$3:H$12,$B411)))&gt;0</f>
        <v>0</v>
      </c>
      <c r="O411" s="6" t="b">
        <f>SUMPRODUCT(--ISNUMBER(SEARCH(CategoriesConfig!I$3:I$12,$B411)))&gt;0</f>
        <v>0</v>
      </c>
      <c r="P411" s="22" t="b">
        <f t="shared" si="25"/>
        <v>0</v>
      </c>
      <c r="Q411" s="22">
        <f t="shared" si="26"/>
        <v>8</v>
      </c>
      <c r="R411" s="58"/>
      <c r="S411" s="6" t="str">
        <f t="shared" si="27"/>
        <v>F</v>
      </c>
    </row>
    <row r="412" spans="1:19" ht="13.5" thickBot="1" x14ac:dyDescent="0.25">
      <c r="A412" s="4">
        <f>DATEVALUE(DataIn!A432)</f>
        <v>42977</v>
      </c>
      <c r="B412" s="5" t="str">
        <f>DataIn!B432</f>
        <v>POS 512967XXXXXX4422 ZES*UBER INDIA S POS DEBIT</v>
      </c>
      <c r="C412" s="5" t="str">
        <f>DataIn!C432</f>
        <v>0000724240185991</v>
      </c>
      <c r="D412" s="5" t="str">
        <f>DataIn!D432</f>
        <v>30/08/17</v>
      </c>
      <c r="E412" s="5">
        <f>DataIn!E432</f>
        <v>131.69999999999999</v>
      </c>
      <c r="F412" s="5">
        <f>DataIn!F432</f>
        <v>0</v>
      </c>
      <c r="G412" s="5">
        <f>DataIn!G432</f>
        <v>86640.34</v>
      </c>
      <c r="H412" s="6" t="b">
        <f>SUMPRODUCT(--ISNUMBER(SEARCH(CategoriesConfig!B$3:B$12,$B412)))&gt;0</f>
        <v>0</v>
      </c>
      <c r="I412" s="6" t="b">
        <f>SUMPRODUCT(--ISNUMBER(SEARCH(CategoriesConfig!C$3:C$12,$B412)))&gt;0</f>
        <v>1</v>
      </c>
      <c r="J412" s="6" t="b">
        <f>SUMPRODUCT(--ISNUMBER(SEARCH(CategoriesConfig!D$3:D$12,$B412)))&gt;0</f>
        <v>0</v>
      </c>
      <c r="K412" s="6" t="b">
        <f>SUMPRODUCT(--ISNUMBER(SEARCH(CategoriesConfig!E$3:E$12,$B412)))&gt;0</f>
        <v>0</v>
      </c>
      <c r="L412" s="6" t="b">
        <f>SUMPRODUCT(--ISNUMBER(SEARCH(CategoriesConfig!F$3:F$12,$B412)))&gt;0</f>
        <v>0</v>
      </c>
      <c r="M412" s="6" t="b">
        <f>SUMPRODUCT(--ISNUMBER(SEARCH(CategoriesConfig!G$3:G$12,$B412)))&gt;0</f>
        <v>0</v>
      </c>
      <c r="N412" s="6" t="b">
        <f>SUMPRODUCT(--ISNUMBER(SEARCH(CategoriesConfig!H$3:H$12,$B412)))&gt;0</f>
        <v>0</v>
      </c>
      <c r="O412" s="6" t="b">
        <f>SUMPRODUCT(--ISNUMBER(SEARCH(CategoriesConfig!I$3:I$12,$B412)))&gt;0</f>
        <v>0</v>
      </c>
      <c r="P412" s="22" t="b">
        <f t="shared" si="25"/>
        <v>0</v>
      </c>
      <c r="Q412" s="22">
        <f t="shared" si="26"/>
        <v>8</v>
      </c>
      <c r="R412" s="58"/>
      <c r="S412" s="6" t="str">
        <f t="shared" si="27"/>
        <v>U</v>
      </c>
    </row>
    <row r="413" spans="1:19" ht="13.5" thickBot="1" x14ac:dyDescent="0.25">
      <c r="A413" s="4">
        <f>DATEVALUE(DataIn!A433)</f>
        <v>42977</v>
      </c>
      <c r="B413" s="5" t="str">
        <f>DataIn!B433</f>
        <v>POS 512967XXXXXX4422 RICHMOND SUPER M POS DEBIT</v>
      </c>
      <c r="C413" s="5" t="str">
        <f>DataIn!C433</f>
        <v>0000000000171517</v>
      </c>
      <c r="D413" s="5" t="str">
        <f>DataIn!D433</f>
        <v>30/08/17</v>
      </c>
      <c r="E413" s="5">
        <f>DataIn!E433</f>
        <v>139</v>
      </c>
      <c r="F413" s="5">
        <f>DataIn!F433</f>
        <v>0</v>
      </c>
      <c r="G413" s="5">
        <f>DataIn!G433</f>
        <v>86501.34</v>
      </c>
      <c r="H413" s="6" t="b">
        <f>SUMPRODUCT(--ISNUMBER(SEARCH(CategoriesConfig!B$3:B$12,$B413)))&gt;0</f>
        <v>0</v>
      </c>
      <c r="I413" s="6" t="b">
        <f>SUMPRODUCT(--ISNUMBER(SEARCH(CategoriesConfig!C$3:C$12,$B413)))&gt;0</f>
        <v>0</v>
      </c>
      <c r="J413" s="6" t="b">
        <f>SUMPRODUCT(--ISNUMBER(SEARCH(CategoriesConfig!D$3:D$12,$B413)))&gt;0</f>
        <v>0</v>
      </c>
      <c r="K413" s="6" t="b">
        <f>SUMPRODUCT(--ISNUMBER(SEARCH(CategoriesConfig!E$3:E$12,$B413)))&gt;0</f>
        <v>0</v>
      </c>
      <c r="L413" s="6" t="b">
        <f>SUMPRODUCT(--ISNUMBER(SEARCH(CategoriesConfig!F$3:F$12,$B413)))&gt;0</f>
        <v>0</v>
      </c>
      <c r="M413" s="6" t="b">
        <f>SUMPRODUCT(--ISNUMBER(SEARCH(CategoriesConfig!G$3:G$12,$B413)))&gt;0</f>
        <v>0</v>
      </c>
      <c r="N413" s="6" t="b">
        <f>SUMPRODUCT(--ISNUMBER(SEARCH(CategoriesConfig!H$3:H$12,$B413)))&gt;0</f>
        <v>0</v>
      </c>
      <c r="O413" s="6" t="b">
        <f>SUMPRODUCT(--ISNUMBER(SEARCH(CategoriesConfig!I$3:I$12,$B413)))&gt;0</f>
        <v>0</v>
      </c>
      <c r="P413" s="22" t="b">
        <f t="shared" si="25"/>
        <v>1</v>
      </c>
      <c r="Q413" s="22">
        <f t="shared" si="26"/>
        <v>8</v>
      </c>
      <c r="R413" s="58" t="s">
        <v>223</v>
      </c>
      <c r="S413" s="6" t="str">
        <f t="shared" si="27"/>
        <v>M</v>
      </c>
    </row>
    <row r="414" spans="1:19" ht="13.5" thickBot="1" x14ac:dyDescent="0.25">
      <c r="A414" s="4">
        <f>DATEVALUE(DataIn!A434)</f>
        <v>42977</v>
      </c>
      <c r="B414" s="5" t="str">
        <f>DataIn!B434</f>
        <v>NWD-512967XXXXXX4422-VD103802-BANGALORE</v>
      </c>
      <c r="C414" s="5" t="str">
        <f>DataIn!C434</f>
        <v>0000724221169170</v>
      </c>
      <c r="D414" s="5" t="str">
        <f>DataIn!D434</f>
        <v>30/08/17</v>
      </c>
      <c r="E414" s="5">
        <f>DataIn!E434</f>
        <v>1000</v>
      </c>
      <c r="F414" s="5">
        <f>DataIn!F434</f>
        <v>0</v>
      </c>
      <c r="G414" s="5">
        <f>DataIn!G434</f>
        <v>85501.34</v>
      </c>
      <c r="H414" s="6" t="b">
        <f>SUMPRODUCT(--ISNUMBER(SEARCH(CategoriesConfig!B$3:B$12,$B414)))&gt;0</f>
        <v>0</v>
      </c>
      <c r="I414" s="6" t="b">
        <f>SUMPRODUCT(--ISNUMBER(SEARCH(CategoriesConfig!C$3:C$12,$B414)))&gt;0</f>
        <v>0</v>
      </c>
      <c r="J414" s="6" t="b">
        <f>SUMPRODUCT(--ISNUMBER(SEARCH(CategoriesConfig!D$3:D$12,$B414)))&gt;0</f>
        <v>0</v>
      </c>
      <c r="K414" s="6" t="b">
        <f>SUMPRODUCT(--ISNUMBER(SEARCH(CategoriesConfig!E$3:E$12,$B414)))&gt;0</f>
        <v>0</v>
      </c>
      <c r="L414" s="6" t="b">
        <f>SUMPRODUCT(--ISNUMBER(SEARCH(CategoriesConfig!F$3:F$12,$B414)))&gt;0</f>
        <v>0</v>
      </c>
      <c r="M414" s="6" t="b">
        <f>SUMPRODUCT(--ISNUMBER(SEARCH(CategoriesConfig!G$3:G$12,$B414)))&gt;0</f>
        <v>0</v>
      </c>
      <c r="N414" s="6" t="b">
        <f>SUMPRODUCT(--ISNUMBER(SEARCH(CategoriesConfig!H$3:H$12,$B414)))&gt;0</f>
        <v>1</v>
      </c>
      <c r="O414" s="6" t="b">
        <f>SUMPRODUCT(--ISNUMBER(SEARCH(CategoriesConfig!I$3:I$12,$B414)))&gt;0</f>
        <v>0</v>
      </c>
      <c r="P414" s="22" t="b">
        <f t="shared" si="25"/>
        <v>0</v>
      </c>
      <c r="Q414" s="22">
        <f t="shared" si="26"/>
        <v>8</v>
      </c>
      <c r="R414" s="58"/>
      <c r="S414" s="6" t="str">
        <f t="shared" si="27"/>
        <v>C</v>
      </c>
    </row>
    <row r="415" spans="1:19" ht="13.5" thickBot="1" x14ac:dyDescent="0.25">
      <c r="A415" s="4">
        <f>DATEVALUE(DataIn!A435)</f>
        <v>42978</v>
      </c>
      <c r="B415" s="5" t="str">
        <f>DataIn!B435</f>
        <v>POS 512967XXXXXX4422 PTM*PAYTM POS DEBIT</v>
      </c>
      <c r="C415" s="5" t="str">
        <f>DataIn!C435</f>
        <v>0000724300020331</v>
      </c>
      <c r="D415" s="5" t="str">
        <f>DataIn!D435</f>
        <v>31/08/17</v>
      </c>
      <c r="E415" s="5">
        <f>DataIn!E435</f>
        <v>348</v>
      </c>
      <c r="F415" s="5">
        <f>DataIn!F435</f>
        <v>0</v>
      </c>
      <c r="G415" s="5">
        <f>DataIn!G435</f>
        <v>85153.34</v>
      </c>
      <c r="H415" s="6" t="b">
        <f>SUMPRODUCT(--ISNUMBER(SEARCH(CategoriesConfig!B$3:B$12,$B415)))&gt;0</f>
        <v>0</v>
      </c>
      <c r="I415" s="6" t="b">
        <f>SUMPRODUCT(--ISNUMBER(SEARCH(CategoriesConfig!C$3:C$12,$B415)))&gt;0</f>
        <v>0</v>
      </c>
      <c r="J415" s="6" t="b">
        <f>SUMPRODUCT(--ISNUMBER(SEARCH(CategoriesConfig!D$3:D$12,$B415)))&gt;0</f>
        <v>0</v>
      </c>
      <c r="K415" s="6" t="b">
        <f>SUMPRODUCT(--ISNUMBER(SEARCH(CategoriesConfig!E$3:E$12,$B415)))&gt;0</f>
        <v>0</v>
      </c>
      <c r="L415" s="6" t="b">
        <f>SUMPRODUCT(--ISNUMBER(SEARCH(CategoriesConfig!F$3:F$12,$B415)))&gt;0</f>
        <v>0</v>
      </c>
      <c r="M415" s="6" t="b">
        <f>SUMPRODUCT(--ISNUMBER(SEARCH(CategoriesConfig!G$3:G$12,$B415)))&gt;0</f>
        <v>0</v>
      </c>
      <c r="N415" s="6" t="b">
        <f>SUMPRODUCT(--ISNUMBER(SEARCH(CategoriesConfig!H$3:H$12,$B415)))&gt;0</f>
        <v>0</v>
      </c>
      <c r="O415" s="6" t="b">
        <f>SUMPRODUCT(--ISNUMBER(SEARCH(CategoriesConfig!I$3:I$12,$B415)))&gt;0</f>
        <v>0</v>
      </c>
      <c r="P415" s="22" t="b">
        <f t="shared" si="25"/>
        <v>1</v>
      </c>
      <c r="Q415" s="22">
        <f t="shared" si="26"/>
        <v>8</v>
      </c>
      <c r="R415" s="58" t="s">
        <v>223</v>
      </c>
      <c r="S415" s="6" t="str">
        <f t="shared" si="27"/>
        <v>M</v>
      </c>
    </row>
    <row r="416" spans="1:19" ht="13.5" thickBot="1" x14ac:dyDescent="0.25">
      <c r="A416" s="4">
        <f>DATEVALUE(DataIn!A436)</f>
        <v>42978</v>
      </c>
      <c r="B416" s="5" t="str">
        <f>DataIn!B436</f>
        <v>POS 512967XXXXXX4422 CELEBRATIONS, POS DEBIT</v>
      </c>
      <c r="C416" s="5" t="str">
        <f>DataIn!C436</f>
        <v>0000000000003161</v>
      </c>
      <c r="D416" s="5" t="str">
        <f>DataIn!D436</f>
        <v>31/08/17</v>
      </c>
      <c r="E416" s="5">
        <f>DataIn!E436</f>
        <v>94</v>
      </c>
      <c r="F416" s="5">
        <f>DataIn!F436</f>
        <v>0</v>
      </c>
      <c r="G416" s="5">
        <f>DataIn!G436</f>
        <v>85059.34</v>
      </c>
      <c r="H416" s="6" t="b">
        <f>SUMPRODUCT(--ISNUMBER(SEARCH(CategoriesConfig!B$3:B$12,$B416)))&gt;0</f>
        <v>0</v>
      </c>
      <c r="I416" s="6" t="b">
        <f>SUMPRODUCT(--ISNUMBER(SEARCH(CategoriesConfig!C$3:C$12,$B416)))&gt;0</f>
        <v>0</v>
      </c>
      <c r="J416" s="6" t="b">
        <f>SUMPRODUCT(--ISNUMBER(SEARCH(CategoriesConfig!D$3:D$12,$B416)))&gt;0</f>
        <v>1</v>
      </c>
      <c r="K416" s="6" t="b">
        <f>SUMPRODUCT(--ISNUMBER(SEARCH(CategoriesConfig!E$3:E$12,$B416)))&gt;0</f>
        <v>0</v>
      </c>
      <c r="L416" s="6" t="b">
        <f>SUMPRODUCT(--ISNUMBER(SEARCH(CategoriesConfig!F$3:F$12,$B416)))&gt;0</f>
        <v>0</v>
      </c>
      <c r="M416" s="6" t="b">
        <f>SUMPRODUCT(--ISNUMBER(SEARCH(CategoriesConfig!G$3:G$12,$B416)))&gt;0</f>
        <v>0</v>
      </c>
      <c r="N416" s="6" t="b">
        <f>SUMPRODUCT(--ISNUMBER(SEARCH(CategoriesConfig!H$3:H$12,$B416)))&gt;0</f>
        <v>0</v>
      </c>
      <c r="O416" s="6" t="b">
        <f>SUMPRODUCT(--ISNUMBER(SEARCH(CategoriesConfig!I$3:I$12,$B416)))&gt;0</f>
        <v>0</v>
      </c>
      <c r="P416" s="22" t="b">
        <f t="shared" si="25"/>
        <v>0</v>
      </c>
      <c r="Q416" s="22">
        <f t="shared" si="26"/>
        <v>8</v>
      </c>
      <c r="R416" s="58"/>
      <c r="S416" s="6" t="str">
        <f t="shared" si="27"/>
        <v>L</v>
      </c>
    </row>
    <row r="417" spans="1:19" ht="13.5" thickBot="1" x14ac:dyDescent="0.25">
      <c r="A417" s="4">
        <f>DATEVALUE(DataIn!A437)</f>
        <v>42978</v>
      </c>
      <c r="B417" s="5" t="str">
        <f>DataIn!B437</f>
        <v>POS 512967XXXXXX4422 TAMBRES POS DEBIT</v>
      </c>
      <c r="C417" s="5" t="str">
        <f>DataIn!C437</f>
        <v>0000000000000427</v>
      </c>
      <c r="D417" s="5" t="str">
        <f>DataIn!D437</f>
        <v>31/08/17</v>
      </c>
      <c r="E417" s="5">
        <f>DataIn!E437</f>
        <v>3925</v>
      </c>
      <c r="F417" s="5">
        <f>DataIn!F437</f>
        <v>0</v>
      </c>
      <c r="G417" s="5">
        <f>DataIn!G437</f>
        <v>81134.34</v>
      </c>
      <c r="H417" s="6" t="b">
        <f>SUMPRODUCT(--ISNUMBER(SEARCH(CategoriesConfig!B$3:B$12,$B417)))&gt;0</f>
        <v>0</v>
      </c>
      <c r="I417" s="6" t="b">
        <f>SUMPRODUCT(--ISNUMBER(SEARCH(CategoriesConfig!C$3:C$12,$B417)))&gt;0</f>
        <v>0</v>
      </c>
      <c r="J417" s="6" t="b">
        <f>SUMPRODUCT(--ISNUMBER(SEARCH(CategoriesConfig!D$3:D$12,$B417)))&gt;0</f>
        <v>0</v>
      </c>
      <c r="K417" s="6" t="b">
        <f>SUMPRODUCT(--ISNUMBER(SEARCH(CategoriesConfig!E$3:E$12,$B417)))&gt;0</f>
        <v>0</v>
      </c>
      <c r="L417" s="6" t="b">
        <f>SUMPRODUCT(--ISNUMBER(SEARCH(CategoriesConfig!F$3:F$12,$B417)))&gt;0</f>
        <v>0</v>
      </c>
      <c r="M417" s="6" t="b">
        <f>SUMPRODUCT(--ISNUMBER(SEARCH(CategoriesConfig!G$3:G$12,$B417)))&gt;0</f>
        <v>0</v>
      </c>
      <c r="N417" s="6" t="b">
        <f>SUMPRODUCT(--ISNUMBER(SEARCH(CategoriesConfig!H$3:H$12,$B417)))&gt;0</f>
        <v>0</v>
      </c>
      <c r="O417" s="6" t="b">
        <f>SUMPRODUCT(--ISNUMBER(SEARCH(CategoriesConfig!I$3:I$12,$B417)))&gt;0</f>
        <v>0</v>
      </c>
      <c r="P417" s="22" t="b">
        <f t="shared" si="25"/>
        <v>1</v>
      </c>
      <c r="Q417" s="22">
        <f t="shared" si="26"/>
        <v>8</v>
      </c>
      <c r="R417" s="58" t="s">
        <v>220</v>
      </c>
      <c r="S417" s="6" t="str">
        <f t="shared" si="27"/>
        <v>S</v>
      </c>
    </row>
    <row r="418" spans="1:19" ht="13.5" thickBot="1" x14ac:dyDescent="0.25">
      <c r="A418" s="4"/>
      <c r="B418" s="5"/>
      <c r="C418" s="5"/>
      <c r="D418" s="5"/>
      <c r="E418" s="5"/>
      <c r="F418" s="5"/>
      <c r="G418" s="5"/>
      <c r="H418" s="6"/>
      <c r="I418" s="6"/>
      <c r="J418" s="6"/>
      <c r="K418" s="6"/>
      <c r="L418" s="6"/>
      <c r="M418" s="6"/>
      <c r="N418" s="6"/>
      <c r="O418" s="6"/>
      <c r="P418" s="22"/>
      <c r="Q418" s="22"/>
      <c r="R418" s="58"/>
      <c r="S418" s="6"/>
    </row>
    <row r="419" spans="1:19" x14ac:dyDescent="0.2">
      <c r="A419" s="4"/>
      <c r="B419" s="5"/>
      <c r="C419" s="5"/>
      <c r="D419" s="5"/>
      <c r="E419" s="5"/>
      <c r="F419" s="5"/>
      <c r="G419" s="5"/>
      <c r="H419" s="6"/>
      <c r="I419" s="6"/>
      <c r="J419" s="6"/>
      <c r="K419" s="6"/>
      <c r="L419" s="6"/>
      <c r="M419" s="6"/>
      <c r="N419" s="6"/>
      <c r="O419" s="6"/>
      <c r="P419" s="22"/>
      <c r="Q419" s="22"/>
      <c r="R419" s="58"/>
      <c r="S419" s="6"/>
    </row>
  </sheetData>
  <autoFilter ref="A2:S417"/>
  <pageMargins left="0.7" right="0.7" top="0.75" bottom="0.75" header="0.3" footer="0.3"/>
  <pageSetup paperSize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6"/>
  <sheetViews>
    <sheetView workbookViewId="0">
      <selection activeCell="B14" sqref="B14"/>
    </sheetView>
  </sheetViews>
  <sheetFormatPr defaultRowHeight="12.75" x14ac:dyDescent="0.2"/>
  <cols>
    <col min="1" max="1" width="13.42578125" customWidth="1"/>
    <col min="2" max="2" width="12.28515625" customWidth="1"/>
    <col min="3" max="3" width="13.85546875" customWidth="1"/>
  </cols>
  <sheetData>
    <row r="1" spans="1:3" ht="13.5" thickBot="1" x14ac:dyDescent="0.25">
      <c r="A1" s="1" t="s">
        <v>238</v>
      </c>
      <c r="B1" s="1" t="s">
        <v>237</v>
      </c>
      <c r="C1" s="1" t="s">
        <v>261</v>
      </c>
    </row>
    <row r="2" spans="1:3" x14ac:dyDescent="0.2">
      <c r="A2" s="7" t="s">
        <v>225</v>
      </c>
      <c r="B2" s="7" t="s">
        <v>236</v>
      </c>
      <c r="C2" s="26">
        <f>SUMIFS(DataInProcessed!F$3:F$917,DataInProcessed!S$3:S$917,Breakdown!A2,DataInProcessed!A$3:A$917,"&gt;"&amp;Breakdown!B$13,DataInProcessed!A$3:A$917,"&lt;="&amp;Breakdown!B$14)</f>
        <v>111298</v>
      </c>
    </row>
    <row r="3" spans="1:3" x14ac:dyDescent="0.2">
      <c r="A3" s="8" t="s">
        <v>224</v>
      </c>
      <c r="B3" s="8" t="s">
        <v>229</v>
      </c>
      <c r="C3" s="27">
        <f>SUMIFS(DataInProcessed!E$3:E$917,DataInProcessed!S$3:S$917,Breakdown!A3,DataInProcessed!A$3:A$917,"&gt;"&amp;Breakdown!B$13,DataInProcessed!A$3:A$917,"&lt;="&amp;Breakdown!B$14)</f>
        <v>6341.96</v>
      </c>
    </row>
    <row r="4" spans="1:3" x14ac:dyDescent="0.2">
      <c r="A4" s="9" t="s">
        <v>228</v>
      </c>
      <c r="B4" s="9" t="s">
        <v>230</v>
      </c>
      <c r="C4" s="28">
        <f>SUMIFS(DataInProcessed!E$3:E$917,DataInProcessed!S$3:S$917,Breakdown!A4,DataInProcessed!A$3:A$917,"&gt;"&amp;Breakdown!B$13,DataInProcessed!A$3:A$917,"&lt;="&amp;Breakdown!B$14)</f>
        <v>1786</v>
      </c>
    </row>
    <row r="5" spans="1:3" x14ac:dyDescent="0.2">
      <c r="A5" s="8" t="s">
        <v>220</v>
      </c>
      <c r="B5" s="8" t="s">
        <v>231</v>
      </c>
      <c r="C5" s="27">
        <f>SUMIFS(DataInProcessed!E$3:E$917,DataInProcessed!S$3:S$917,Breakdown!A5,DataInProcessed!A$3:A$917,"&gt;"&amp;Breakdown!B$13,DataInProcessed!A$3:A$917,"&lt;="&amp;Breakdown!B$14)</f>
        <v>0</v>
      </c>
    </row>
    <row r="6" spans="1:3" x14ac:dyDescent="0.2">
      <c r="A6" s="9" t="s">
        <v>221</v>
      </c>
      <c r="B6" s="9" t="s">
        <v>232</v>
      </c>
      <c r="C6" s="28">
        <f>SUMIFS(DataInProcessed!E$3:E$917,DataInProcessed!S$3:S$917,Breakdown!A6,DataInProcessed!A$3:A$917,"&gt;"&amp;Breakdown!B$13,DataInProcessed!A$3:A$917,"&lt;="&amp;Breakdown!B$14)</f>
        <v>20758</v>
      </c>
    </row>
    <row r="7" spans="1:3" x14ac:dyDescent="0.2">
      <c r="A7" s="8" t="s">
        <v>223</v>
      </c>
      <c r="B7" s="8" t="s">
        <v>233</v>
      </c>
      <c r="C7" s="27">
        <f>SUMIFS(DataInProcessed!E$3:E$917,DataInProcessed!S$3:S$917,Breakdown!A7,DataInProcessed!A$3:A$917,"&gt;"&amp;Breakdown!B$13,DataInProcessed!A$3:A$917,"&lt;="&amp;Breakdown!B$14)</f>
        <v>7143</v>
      </c>
    </row>
    <row r="8" spans="1:3" x14ac:dyDescent="0.2">
      <c r="A8" s="9" t="s">
        <v>227</v>
      </c>
      <c r="B8" s="9" t="s">
        <v>234</v>
      </c>
      <c r="C8" s="28">
        <f>SUMIFS(DataInProcessed!E$3:E$917,DataInProcessed!S$3:S$917,Breakdown!A8,DataInProcessed!A$3:A$917,"&gt;"&amp;Breakdown!B$13,DataInProcessed!A$3:A$917,"&lt;="&amp;Breakdown!B$14)</f>
        <v>30200</v>
      </c>
    </row>
    <row r="9" spans="1:3" x14ac:dyDescent="0.2">
      <c r="A9" s="8" t="s">
        <v>222</v>
      </c>
      <c r="B9" s="8" t="s">
        <v>235</v>
      </c>
      <c r="C9" s="27">
        <f>SUMIFS(DataInProcessed!E$3:E$917,DataInProcessed!S$3:S$917,Breakdown!A9,DataInProcessed!A$3:A$917,"&gt;"&amp;Breakdown!B$13,DataInProcessed!A$3:A$917,"&lt;="&amp;Breakdown!B$14)</f>
        <v>0</v>
      </c>
    </row>
    <row r="10" spans="1:3" x14ac:dyDescent="0.2">
      <c r="A10" s="9" t="s">
        <v>260</v>
      </c>
      <c r="B10" s="9" t="s">
        <v>260</v>
      </c>
      <c r="C10" s="28">
        <f>SUMIFS(DataInProcessed!E$3:E$917,DataInProcessed!S$3:S$917,Breakdown!A10,DataInProcessed!A$3:A$917,"&gt;"&amp;Breakdown!B$13,DataInProcessed!A$3:A$917,"&lt;="&amp;Breakdown!B$14)</f>
        <v>0</v>
      </c>
    </row>
    <row r="13" spans="1:3" x14ac:dyDescent="0.2">
      <c r="A13" s="9" t="s">
        <v>262</v>
      </c>
      <c r="B13" s="24">
        <v>42917</v>
      </c>
    </row>
    <row r="14" spans="1:3" x14ac:dyDescent="0.2">
      <c r="A14" s="8" t="s">
        <v>263</v>
      </c>
      <c r="B14" s="25">
        <v>42947</v>
      </c>
    </row>
    <row r="16" spans="1:3" x14ac:dyDescent="0.2">
      <c r="A16" s="2" t="s">
        <v>264</v>
      </c>
      <c r="B16" t="str">
        <f>"Breakdown for period "&amp;TEXT(B13,"dd-mmm-yyyy")&amp;" to "&amp;TEXT(B14,"dd-mmm-yyyy")</f>
        <v>Breakdown for period 01-Jul-2017 to 31-Jul-2017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Config!$A$1:$A$365</xm:f>
          </x14:formula1>
          <xm:sqref>B13 B14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39"/>
  <sheetViews>
    <sheetView topLeftCell="A2" zoomScale="70" zoomScaleNormal="70" workbookViewId="0">
      <selection activeCell="E26" sqref="E26"/>
    </sheetView>
  </sheetViews>
  <sheetFormatPr defaultRowHeight="12.75" x14ac:dyDescent="0.2"/>
  <cols>
    <col min="2" max="2" width="17.140625" customWidth="1"/>
    <col min="16" max="16" width="18.7109375" customWidth="1"/>
  </cols>
  <sheetData>
    <row r="1" spans="1:17" x14ac:dyDescent="0.2">
      <c r="B1" s="1" t="s">
        <v>237</v>
      </c>
      <c r="C1" s="1" t="s">
        <v>505</v>
      </c>
      <c r="D1" s="1" t="s">
        <v>495</v>
      </c>
      <c r="E1" s="1" t="s">
        <v>490</v>
      </c>
      <c r="F1" s="1" t="s">
        <v>496</v>
      </c>
      <c r="G1" s="1" t="s">
        <v>497</v>
      </c>
      <c r="H1" s="1" t="s">
        <v>498</v>
      </c>
      <c r="I1" s="1" t="s">
        <v>499</v>
      </c>
      <c r="J1" s="1" t="s">
        <v>500</v>
      </c>
      <c r="K1" s="1" t="s">
        <v>501</v>
      </c>
      <c r="L1" s="1" t="s">
        <v>502</v>
      </c>
      <c r="M1" s="1" t="s">
        <v>503</v>
      </c>
      <c r="N1" s="1" t="s">
        <v>506</v>
      </c>
      <c r="P1" s="1" t="s">
        <v>507</v>
      </c>
      <c r="Q1" s="49">
        <v>42917</v>
      </c>
    </row>
    <row r="2" spans="1:17" ht="13.5" thickBot="1" x14ac:dyDescent="0.25">
      <c r="A2">
        <v>2</v>
      </c>
      <c r="B2" s="32" t="s">
        <v>236</v>
      </c>
      <c r="C2" s="43">
        <f>HLOOKUP($Q$1,Monthly!$C$1:$O$13,A2)</f>
        <v>112305</v>
      </c>
      <c r="D2" s="33">
        <v>0</v>
      </c>
      <c r="E2" s="33">
        <f>HLOOKUP($Q$1,Monthly!$C$1:$O$13,13)</f>
        <v>50000</v>
      </c>
      <c r="F2" s="37">
        <f>C2</f>
        <v>112305</v>
      </c>
      <c r="G2" s="37"/>
      <c r="H2" s="37"/>
      <c r="I2" s="37"/>
      <c r="J2" s="37"/>
      <c r="K2" s="37"/>
      <c r="L2" s="37"/>
      <c r="M2" s="37"/>
      <c r="N2" s="44"/>
    </row>
    <row r="3" spans="1:17" x14ac:dyDescent="0.2">
      <c r="A3">
        <v>3</v>
      </c>
      <c r="B3" s="8" t="s">
        <v>229</v>
      </c>
      <c r="C3" s="45">
        <f>HLOOKUP($Q$1,Monthly!$C$1:$O$13,A3)</f>
        <v>6520.53</v>
      </c>
      <c r="D3" s="38">
        <f>C2-C3</f>
        <v>105784.47</v>
      </c>
      <c r="E3" s="39">
        <f>HLOOKUP($Q$1,Monthly!$C$1:$O$13,13)</f>
        <v>50000</v>
      </c>
      <c r="F3" s="38">
        <f>F2</f>
        <v>112305</v>
      </c>
      <c r="G3" s="38">
        <f>$D3</f>
        <v>105784.47</v>
      </c>
      <c r="H3" s="38"/>
      <c r="I3" s="38"/>
      <c r="J3" s="38"/>
      <c r="K3" s="38"/>
      <c r="L3" s="38"/>
      <c r="M3" s="38"/>
      <c r="N3" s="46"/>
      <c r="P3" s="59" t="str">
        <f>"Account Balancing for "&amp;TEXT(Q1, "mmmm yyyy")</f>
        <v>Account Balancing for July 2017</v>
      </c>
    </row>
    <row r="4" spans="1:17" x14ac:dyDescent="0.2">
      <c r="A4">
        <v>4</v>
      </c>
      <c r="B4" s="9" t="s">
        <v>230</v>
      </c>
      <c r="C4" s="45">
        <f>HLOOKUP($Q$1,Monthly!$C$1:$O$13,A4)</f>
        <v>1880</v>
      </c>
      <c r="D4" s="38">
        <f t="shared" ref="D4:D10" si="0">D3-C4</f>
        <v>103904.47</v>
      </c>
      <c r="E4" s="39">
        <f>HLOOKUP($Q$1,Monthly!$C$1:$O$13,13)</f>
        <v>50000</v>
      </c>
      <c r="F4" s="39"/>
      <c r="G4" s="38">
        <f>G3</f>
        <v>105784.47</v>
      </c>
      <c r="H4" s="38">
        <f>$D4</f>
        <v>103904.47</v>
      </c>
      <c r="I4" s="38"/>
      <c r="J4" s="38"/>
      <c r="K4" s="38"/>
      <c r="L4" s="38"/>
      <c r="M4" s="38"/>
      <c r="N4" s="46"/>
    </row>
    <row r="5" spans="1:17" x14ac:dyDescent="0.2">
      <c r="A5">
        <v>5</v>
      </c>
      <c r="B5" s="8" t="s">
        <v>231</v>
      </c>
      <c r="C5" s="45">
        <f>HLOOKUP($Q$1,Monthly!$C$1:$O$13,A5)</f>
        <v>0</v>
      </c>
      <c r="D5" s="38">
        <f t="shared" si="0"/>
        <v>103904.47</v>
      </c>
      <c r="E5" s="39">
        <f>HLOOKUP($Q$1,Monthly!$C$1:$O$13,13)</f>
        <v>50000</v>
      </c>
      <c r="F5" s="39"/>
      <c r="G5" s="38"/>
      <c r="H5" s="38">
        <f>H4</f>
        <v>103904.47</v>
      </c>
      <c r="I5" s="38">
        <f>$D5</f>
        <v>103904.47</v>
      </c>
      <c r="J5" s="38"/>
      <c r="K5" s="38"/>
      <c r="L5" s="38"/>
      <c r="M5" s="38"/>
      <c r="N5" s="46"/>
    </row>
    <row r="6" spans="1:17" x14ac:dyDescent="0.2">
      <c r="A6">
        <v>6</v>
      </c>
      <c r="B6" s="9" t="s">
        <v>232</v>
      </c>
      <c r="C6" s="45">
        <f>HLOOKUP($Q$1,Monthly!$C$1:$O$13,A6)</f>
        <v>20895</v>
      </c>
      <c r="D6" s="38">
        <f t="shared" si="0"/>
        <v>83009.47</v>
      </c>
      <c r="E6" s="39">
        <f>HLOOKUP($Q$1,Monthly!$C$1:$O$13,13)</f>
        <v>50000</v>
      </c>
      <c r="F6" s="39"/>
      <c r="G6" s="38"/>
      <c r="H6" s="38"/>
      <c r="I6" s="38">
        <f>I5</f>
        <v>103904.47</v>
      </c>
      <c r="J6" s="38">
        <f>$D6</f>
        <v>83009.47</v>
      </c>
      <c r="K6" s="38"/>
      <c r="L6" s="38"/>
      <c r="M6" s="38"/>
      <c r="N6" s="46"/>
    </row>
    <row r="7" spans="1:17" x14ac:dyDescent="0.2">
      <c r="A7">
        <v>7</v>
      </c>
      <c r="B7" s="8" t="s">
        <v>233</v>
      </c>
      <c r="C7" s="45">
        <f>HLOOKUP($Q$1,Monthly!$C$1:$O$13,A7)</f>
        <v>7143</v>
      </c>
      <c r="D7" s="38">
        <f t="shared" si="0"/>
        <v>75866.47</v>
      </c>
      <c r="E7" s="39">
        <f>HLOOKUP($Q$1,Monthly!$C$1:$O$13,13)</f>
        <v>50000</v>
      </c>
      <c r="F7" s="39"/>
      <c r="G7" s="38"/>
      <c r="H7" s="38"/>
      <c r="I7" s="38"/>
      <c r="J7" s="38">
        <f>J6</f>
        <v>83009.47</v>
      </c>
      <c r="K7" s="38">
        <f>$D7</f>
        <v>75866.47</v>
      </c>
      <c r="L7" s="38"/>
      <c r="M7" s="38"/>
      <c r="N7" s="46"/>
    </row>
    <row r="8" spans="1:17" x14ac:dyDescent="0.2">
      <c r="A8">
        <v>8</v>
      </c>
      <c r="B8" s="9" t="s">
        <v>234</v>
      </c>
      <c r="C8" s="45">
        <f>HLOOKUP($Q$1,Monthly!$C$1:$O$13,A8)</f>
        <v>30200</v>
      </c>
      <c r="D8" s="38">
        <f t="shared" si="0"/>
        <v>45666.47</v>
      </c>
      <c r="E8" s="39">
        <f>HLOOKUP($Q$1,Monthly!$C$1:$O$13,13)</f>
        <v>50000</v>
      </c>
      <c r="F8" s="39"/>
      <c r="G8" s="38"/>
      <c r="H8" s="38"/>
      <c r="I8" s="38"/>
      <c r="J8" s="38"/>
      <c r="K8" s="38">
        <f>K7</f>
        <v>75866.47</v>
      </c>
      <c r="L8" s="38">
        <f>$D8</f>
        <v>45666.47</v>
      </c>
      <c r="M8" s="38"/>
      <c r="N8" s="46"/>
    </row>
    <row r="9" spans="1:17" x14ac:dyDescent="0.2">
      <c r="A9">
        <v>9</v>
      </c>
      <c r="B9" s="8" t="s">
        <v>235</v>
      </c>
      <c r="C9" s="45">
        <f>HLOOKUP($Q$1,Monthly!$C$1:$O$13,A9)</f>
        <v>0</v>
      </c>
      <c r="D9" s="38">
        <f t="shared" si="0"/>
        <v>45666.47</v>
      </c>
      <c r="E9" s="39">
        <f>HLOOKUP($Q$1,Monthly!$C$1:$O$13,13)</f>
        <v>50000</v>
      </c>
      <c r="F9" s="39"/>
      <c r="G9" s="38"/>
      <c r="H9" s="38"/>
      <c r="I9" s="38"/>
      <c r="J9" s="38"/>
      <c r="K9" s="38"/>
      <c r="L9" s="38">
        <f>L8</f>
        <v>45666.47</v>
      </c>
      <c r="M9" s="38">
        <f>$D9</f>
        <v>45666.47</v>
      </c>
      <c r="N9" s="46"/>
    </row>
    <row r="10" spans="1:17" x14ac:dyDescent="0.2">
      <c r="A10">
        <v>10</v>
      </c>
      <c r="B10" s="9" t="s">
        <v>260</v>
      </c>
      <c r="C10" s="45">
        <f>HLOOKUP($Q$1,Monthly!$C$1:$O$13,A10)</f>
        <v>0</v>
      </c>
      <c r="D10" s="38">
        <f t="shared" si="0"/>
        <v>45666.47</v>
      </c>
      <c r="E10" s="39">
        <f>HLOOKUP($Q$1,Monthly!$C$1:$O$13,13)</f>
        <v>50000</v>
      </c>
      <c r="F10" s="39"/>
      <c r="G10" s="38"/>
      <c r="H10" s="38"/>
      <c r="I10" s="38"/>
      <c r="J10" s="38"/>
      <c r="K10" s="38"/>
      <c r="L10" s="38"/>
      <c r="M10" s="38">
        <f>M9</f>
        <v>45666.47</v>
      </c>
      <c r="N10" s="46">
        <f>$D10</f>
        <v>45666.47</v>
      </c>
    </row>
    <row r="11" spans="1:17" ht="13.5" thickBot="1" x14ac:dyDescent="0.25">
      <c r="A11">
        <v>12</v>
      </c>
      <c r="B11" s="34" t="s">
        <v>489</v>
      </c>
      <c r="C11" s="47">
        <f>HLOOKUP($Q$1,Monthly!$C$1:$O$13,A11)</f>
        <v>45666.47</v>
      </c>
      <c r="D11" s="31">
        <v>0</v>
      </c>
      <c r="E11" s="31">
        <f>HLOOKUP($Q$1,Monthly!$C$1:$O$13,13)</f>
        <v>50000</v>
      </c>
      <c r="F11" s="31"/>
      <c r="G11" s="35"/>
      <c r="H11" s="35"/>
      <c r="I11" s="35"/>
      <c r="J11" s="35"/>
      <c r="K11" s="35"/>
      <c r="L11" s="35"/>
      <c r="M11" s="35"/>
      <c r="N11" s="48">
        <f>N10</f>
        <v>45666.47</v>
      </c>
    </row>
    <row r="12" spans="1:17" x14ac:dyDescent="0.2">
      <c r="G12" s="36"/>
    </row>
    <row r="14" spans="1:17" ht="12.75" customHeight="1" x14ac:dyDescent="0.2"/>
    <row r="15" spans="1:17" ht="12.75" customHeight="1" x14ac:dyDescent="0.2"/>
    <row r="16" spans="1:17" ht="12.75" customHeight="1" x14ac:dyDescent="0.2"/>
    <row r="17" ht="12.75" customHeight="1" x14ac:dyDescent="0.2"/>
    <row r="18" ht="12.75" customHeight="1" x14ac:dyDescent="0.2"/>
    <row r="19" ht="12.75" customHeight="1" x14ac:dyDescent="0.2"/>
    <row r="20" ht="12.75" customHeight="1" x14ac:dyDescent="0.2"/>
    <row r="21" ht="12.75" customHeight="1" x14ac:dyDescent="0.2"/>
    <row r="22" ht="12.75" customHeight="1" x14ac:dyDescent="0.2"/>
    <row r="23" ht="12.75" customHeight="1" x14ac:dyDescent="0.2"/>
    <row r="24" ht="12.75" customHeight="1" x14ac:dyDescent="0.2"/>
    <row r="25" ht="12.75" customHeight="1" x14ac:dyDescent="0.2"/>
    <row r="26" ht="12.75" customHeight="1" x14ac:dyDescent="0.2"/>
    <row r="27" ht="12.75" customHeight="1" x14ac:dyDescent="0.2"/>
    <row r="39" spans="6:6" x14ac:dyDescent="0.2">
      <c r="F39" s="2"/>
    </row>
  </sheetData>
  <pageMargins left="0.7" right="0.7" top="0.75" bottom="0.75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Monthly!$C$1:$O$1</xm:f>
          </x14:formula1>
          <xm:sqref>Q1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O29"/>
  <sheetViews>
    <sheetView workbookViewId="0">
      <selection activeCell="L27" sqref="L27"/>
    </sheetView>
  </sheetViews>
  <sheetFormatPr defaultRowHeight="12.75" x14ac:dyDescent="0.2"/>
  <cols>
    <col min="1" max="1" width="8.42578125" bestFit="1" customWidth="1"/>
    <col min="2" max="2" width="14.85546875" bestFit="1" customWidth="1"/>
    <col min="3" max="3" width="7.28515625" hidden="1" customWidth="1"/>
    <col min="4" max="5" width="7.5703125" hidden="1" customWidth="1"/>
    <col min="6" max="6" width="7.42578125" bestFit="1" customWidth="1"/>
    <col min="7" max="7" width="7.85546875" bestFit="1" customWidth="1"/>
    <col min="8" max="8" width="7.28515625" bestFit="1" customWidth="1"/>
    <col min="9" max="9" width="7" bestFit="1" customWidth="1"/>
    <col min="10" max="10" width="7.7109375" bestFit="1" customWidth="1"/>
    <col min="11" max="11" width="7.5703125" bestFit="1" customWidth="1"/>
    <col min="12" max="12" width="7.140625" bestFit="1" customWidth="1"/>
    <col min="13" max="13" width="7.7109375" bestFit="1" customWidth="1"/>
    <col min="14" max="14" width="7.5703125" bestFit="1" customWidth="1"/>
    <col min="15" max="15" width="7" bestFit="1" customWidth="1"/>
  </cols>
  <sheetData>
    <row r="1" spans="1:15" x14ac:dyDescent="0.2">
      <c r="A1" s="60" t="s">
        <v>238</v>
      </c>
      <c r="B1" s="60" t="s">
        <v>237</v>
      </c>
      <c r="C1" s="61">
        <v>42736</v>
      </c>
      <c r="D1" s="61">
        <v>42767</v>
      </c>
      <c r="E1" s="61">
        <v>42795</v>
      </c>
      <c r="F1" s="61">
        <v>42826</v>
      </c>
      <c r="G1" s="61">
        <v>42856</v>
      </c>
      <c r="H1" s="61">
        <v>42887</v>
      </c>
      <c r="I1" s="61">
        <v>42917</v>
      </c>
      <c r="J1" s="61">
        <v>42948</v>
      </c>
      <c r="K1" s="61">
        <v>42979</v>
      </c>
      <c r="L1" s="61">
        <v>43009</v>
      </c>
      <c r="M1" s="61">
        <v>43040</v>
      </c>
      <c r="N1" s="61">
        <v>43070</v>
      </c>
      <c r="O1" s="62" t="s">
        <v>494</v>
      </c>
    </row>
    <row r="2" spans="1:15" ht="13.5" thickBot="1" x14ac:dyDescent="0.25">
      <c r="A2" s="63" t="s">
        <v>225</v>
      </c>
      <c r="B2" s="63" t="s">
        <v>236</v>
      </c>
      <c r="C2" s="64">
        <f>SUMIFS(DataInProcessed!$F$3:$F$917,DataInProcessed!$S$3:$S$917,Monthly!$A2,DataInProcessed!$Q$3:$Q$917,"="&amp;MONTH(Monthly!C$1))</f>
        <v>0</v>
      </c>
      <c r="D2" s="64">
        <f>SUMIFS(DataInProcessed!$F$3:$F$917,DataInProcessed!$S$3:$S$917,Monthly!$A2,DataInProcessed!$Q$3:$Q$917,"="&amp;MONTH(Monthly!D$1))</f>
        <v>0</v>
      </c>
      <c r="E2" s="64">
        <f>SUMIFS(DataInProcessed!$F$3:$F$917,DataInProcessed!$S$3:$S$917,Monthly!$A2,DataInProcessed!$Q$3:$Q$917,"="&amp;MONTH(Monthly!E$1))</f>
        <v>0</v>
      </c>
      <c r="F2" s="64">
        <v>25451.200000000001</v>
      </c>
      <c r="G2" s="64">
        <f>SUMIFS(DataInProcessed!$F$3:$F$917,DataInProcessed!$S$3:$S$917,Monthly!$A2,DataInProcessed!$Q$3:$Q$917,"="&amp;MONTH(Monthly!G$1))</f>
        <v>144849</v>
      </c>
      <c r="H2" s="64">
        <f>SUMIFS(DataInProcessed!$F$3:$F$917,DataInProcessed!$S$3:$S$917,Monthly!$A2,DataInProcessed!$Q$3:$Q$917,"="&amp;MONTH(Monthly!H$1))</f>
        <v>111298</v>
      </c>
      <c r="I2" s="64">
        <f>SUMIFS(DataInProcessed!$F$3:$F$917,DataInProcessed!$S$3:$S$917,Monthly!$A2,DataInProcessed!$Q$3:$Q$917,"="&amp;MONTH(Monthly!I$1))</f>
        <v>112305</v>
      </c>
      <c r="J2" s="64">
        <f>SUMIFS(DataInProcessed!$F$3:$F$917,DataInProcessed!$S$3:$S$917,Monthly!$A2,DataInProcessed!$Q$3:$Q$917,"="&amp;MONTH(Monthly!J$1))</f>
        <v>117921</v>
      </c>
      <c r="K2" s="64">
        <f>SUMIFS(DataInProcessed!$F$3:$F$917,DataInProcessed!$S$3:$S$917,Monthly!$A2,DataInProcessed!$Q$3:$Q$917,"="&amp;MONTH(Monthly!K$1))</f>
        <v>0</v>
      </c>
      <c r="L2" s="64">
        <f>SUMIFS(DataInProcessed!$F$3:$F$917,DataInProcessed!$S$3:$S$917,Monthly!$A2,DataInProcessed!$Q$3:$Q$917,"="&amp;MONTH(Monthly!L$1))</f>
        <v>0</v>
      </c>
      <c r="M2" s="64">
        <f>SUMIFS(DataInProcessed!$F$3:$F$917,DataInProcessed!$S$3:$S$917,Monthly!$A2,DataInProcessed!$Q$3:$Q$917,"="&amp;MONTH(Monthly!M$1))</f>
        <v>0</v>
      </c>
      <c r="N2" s="64">
        <f>SUMIFS(DataInProcessed!$F$3:$F$917,DataInProcessed!$S$3:$S$917,Monthly!$A2,DataInProcessed!$Q$3:$Q$917,"="&amp;MONTH(Monthly!N$1))</f>
        <v>0</v>
      </c>
      <c r="O2" s="65">
        <f>SUM(C2:N2)</f>
        <v>511824.2</v>
      </c>
    </row>
    <row r="3" spans="1:15" x14ac:dyDescent="0.2">
      <c r="A3" s="66" t="s">
        <v>224</v>
      </c>
      <c r="B3" s="66" t="s">
        <v>229</v>
      </c>
      <c r="C3" s="67">
        <f>SUMIFS(DataInProcessed!$E$3:$E$917,DataInProcessed!$S$3:$S$917,Monthly!$A3,DataInProcessed!$Q$3:$Q$917,"="&amp;MONTH(Monthly!C$1))</f>
        <v>0</v>
      </c>
      <c r="D3" s="67">
        <f>SUMIFS(DataInProcessed!$E$3:$E$917,DataInProcessed!$S$3:$S$917,Monthly!$A3,DataInProcessed!$Q$3:$Q$917,"="&amp;MONTH(Monthly!D$1))</f>
        <v>0</v>
      </c>
      <c r="E3" s="67">
        <f>SUMIFS(DataInProcessed!$E$3:$E$917,DataInProcessed!$S$3:$S$917,Monthly!$A3,DataInProcessed!$Q$3:$Q$917,"="&amp;MONTH(Monthly!E$1))</f>
        <v>0</v>
      </c>
      <c r="F3" s="67">
        <f>SUMIFS(DataInProcessed!$E$3:$E$917,DataInProcessed!$S$3:$S$917,Monthly!$A3,DataInProcessed!$Q$3:$Q$917,"="&amp;MONTH(Monthly!F$1))</f>
        <v>0</v>
      </c>
      <c r="G3" s="67">
        <f>SUMIFS(DataInProcessed!$E$3:$E$917,DataInProcessed!$S$3:$S$917,Monthly!$A3,DataInProcessed!$Q$3:$Q$917,"="&amp;MONTH(Monthly!G$1))</f>
        <v>5283.8100000000013</v>
      </c>
      <c r="H3" s="67">
        <f>SUMIFS(DataInProcessed!$E$3:$E$917,DataInProcessed!$S$3:$S$917,Monthly!$A3,DataInProcessed!$Q$3:$Q$917,"="&amp;MONTH(Monthly!H$1))</f>
        <v>5311.9299999999994</v>
      </c>
      <c r="I3" s="67">
        <f>SUMIFS(DataInProcessed!$E$3:$E$917,DataInProcessed!$S$3:$S$917,Monthly!$A3,DataInProcessed!$Q$3:$Q$917,"="&amp;MONTH(Monthly!I$1))</f>
        <v>6520.53</v>
      </c>
      <c r="J3" s="67">
        <f>SUMIFS(DataInProcessed!$E$3:$E$917,DataInProcessed!$S$3:$S$917,Monthly!$A3,DataInProcessed!$Q$3:$Q$917,"="&amp;MONTH(Monthly!J$1))</f>
        <v>5605.9899999999989</v>
      </c>
      <c r="K3" s="67">
        <f>SUMIFS(DataInProcessed!$E$3:$E$917,DataInProcessed!$S$3:$S$917,Monthly!$A3,DataInProcessed!$Q$3:$Q$917,"="&amp;MONTH(Monthly!K$1))</f>
        <v>0</v>
      </c>
      <c r="L3" s="67">
        <f>SUMIFS(DataInProcessed!$E$3:$E$917,DataInProcessed!$S$3:$S$917,Monthly!$A3,DataInProcessed!$Q$3:$Q$917,"="&amp;MONTH(Monthly!L$1))</f>
        <v>0</v>
      </c>
      <c r="M3" s="67">
        <f>SUMIFS(DataInProcessed!$E$3:$E$917,DataInProcessed!$S$3:$S$917,Monthly!$A3,DataInProcessed!$Q$3:$Q$917,"="&amp;MONTH(Monthly!M$1))</f>
        <v>0</v>
      </c>
      <c r="N3" s="67">
        <f>SUMIFS(DataInProcessed!$E$3:$E$917,DataInProcessed!$S$3:$S$917,Monthly!$A3,DataInProcessed!$Q$3:$Q$917,"="&amp;MONTH(Monthly!N$1))</f>
        <v>0</v>
      </c>
      <c r="O3" s="68">
        <f t="shared" ref="O3:O12" si="0">SUM(C3:N3)</f>
        <v>22722.26</v>
      </c>
    </row>
    <row r="4" spans="1:15" x14ac:dyDescent="0.2">
      <c r="A4" s="69" t="s">
        <v>228</v>
      </c>
      <c r="B4" s="69" t="s">
        <v>230</v>
      </c>
      <c r="C4" s="67">
        <f>SUMIFS(DataInProcessed!$E$3:$E$917,DataInProcessed!$S$3:$S$917,Monthly!$A4,DataInProcessed!$Q$3:$Q$917,"="&amp;MONTH(Monthly!C$1))</f>
        <v>0</v>
      </c>
      <c r="D4" s="67">
        <f>SUMIFS(DataInProcessed!$E$3:$E$917,DataInProcessed!$S$3:$S$917,Monthly!$A4,DataInProcessed!$Q$3:$Q$917,"="&amp;MONTH(Monthly!D$1))</f>
        <v>0</v>
      </c>
      <c r="E4" s="67">
        <f>SUMIFS(DataInProcessed!$E$3:$E$917,DataInProcessed!$S$3:$S$917,Monthly!$A4,DataInProcessed!$Q$3:$Q$917,"="&amp;MONTH(Monthly!E$1))</f>
        <v>0</v>
      </c>
      <c r="F4" s="67">
        <f>SUMIFS(DataInProcessed!$E$3:$E$917,DataInProcessed!$S$3:$S$917,Monthly!$A4,DataInProcessed!$Q$3:$Q$917,"="&amp;MONTH(Monthly!F$1))</f>
        <v>0</v>
      </c>
      <c r="G4" s="67">
        <f>SUMIFS(DataInProcessed!$E$3:$E$917,DataInProcessed!$S$3:$S$917,Monthly!$A4,DataInProcessed!$Q$3:$Q$917,"="&amp;MONTH(Monthly!G$1))</f>
        <v>700</v>
      </c>
      <c r="H4" s="67">
        <f>SUMIFS(DataInProcessed!$E$3:$E$917,DataInProcessed!$S$3:$S$917,Monthly!$A4,DataInProcessed!$Q$3:$Q$917,"="&amp;MONTH(Monthly!H$1))</f>
        <v>1475</v>
      </c>
      <c r="I4" s="67">
        <f>SUMIFS(DataInProcessed!$E$3:$E$917,DataInProcessed!$S$3:$S$917,Monthly!$A4,DataInProcessed!$Q$3:$Q$917,"="&amp;MONTH(Monthly!I$1))</f>
        <v>1880</v>
      </c>
      <c r="J4" s="67">
        <f>SUMIFS(DataInProcessed!$E$3:$E$917,DataInProcessed!$S$3:$S$917,Monthly!$A4,DataInProcessed!$Q$3:$Q$917,"="&amp;MONTH(Monthly!J$1))</f>
        <v>846</v>
      </c>
      <c r="K4" s="67">
        <f>SUMIFS(DataInProcessed!$E$3:$E$917,DataInProcessed!$S$3:$S$917,Monthly!$A4,DataInProcessed!$Q$3:$Q$917,"="&amp;MONTH(Monthly!K$1))</f>
        <v>0</v>
      </c>
      <c r="L4" s="67">
        <f>SUMIFS(DataInProcessed!$E$3:$E$917,DataInProcessed!$S$3:$S$917,Monthly!$A4,DataInProcessed!$Q$3:$Q$917,"="&amp;MONTH(Monthly!L$1))</f>
        <v>0</v>
      </c>
      <c r="M4" s="67">
        <f>SUMIFS(DataInProcessed!$E$3:$E$917,DataInProcessed!$S$3:$S$917,Monthly!$A4,DataInProcessed!$Q$3:$Q$917,"="&amp;MONTH(Monthly!M$1))</f>
        <v>0</v>
      </c>
      <c r="N4" s="67">
        <f>SUMIFS(DataInProcessed!$E$3:$E$917,DataInProcessed!$S$3:$S$917,Monthly!$A4,DataInProcessed!$Q$3:$Q$917,"="&amp;MONTH(Monthly!N$1))</f>
        <v>0</v>
      </c>
      <c r="O4" s="68">
        <f t="shared" si="0"/>
        <v>4901</v>
      </c>
    </row>
    <row r="5" spans="1:15" x14ac:dyDescent="0.2">
      <c r="A5" s="66" t="s">
        <v>220</v>
      </c>
      <c r="B5" s="66" t="s">
        <v>231</v>
      </c>
      <c r="C5" s="67">
        <f>SUMIFS(DataInProcessed!$E$3:$E$917,DataInProcessed!$S$3:$S$917,Monthly!$A5,DataInProcessed!$Q$3:$Q$917,"="&amp;MONTH(Monthly!C$1))</f>
        <v>0</v>
      </c>
      <c r="D5" s="67">
        <f>SUMIFS(DataInProcessed!$E$3:$E$917,DataInProcessed!$S$3:$S$917,Monthly!$A5,DataInProcessed!$Q$3:$Q$917,"="&amp;MONTH(Monthly!D$1))</f>
        <v>0</v>
      </c>
      <c r="E5" s="67">
        <f>SUMIFS(DataInProcessed!$E$3:$E$917,DataInProcessed!$S$3:$S$917,Monthly!$A5,DataInProcessed!$Q$3:$Q$917,"="&amp;MONTH(Monthly!E$1))</f>
        <v>0</v>
      </c>
      <c r="F5" s="67">
        <f>SUMIFS(DataInProcessed!$E$3:$E$917,DataInProcessed!$S$3:$S$917,Monthly!$A5,DataInProcessed!$Q$3:$Q$917,"="&amp;MONTH(Monthly!F$1))</f>
        <v>0</v>
      </c>
      <c r="G5" s="67">
        <f>SUMIFS(DataInProcessed!$E$3:$E$917,DataInProcessed!$S$3:$S$917,Monthly!$A5,DataInProcessed!$Q$3:$Q$917,"="&amp;MONTH(Monthly!G$1))</f>
        <v>4495</v>
      </c>
      <c r="H5" s="67">
        <f>SUMIFS(DataInProcessed!$E$3:$E$917,DataInProcessed!$S$3:$S$917,Monthly!$A5,DataInProcessed!$Q$3:$Q$917,"="&amp;MONTH(Monthly!H$1))</f>
        <v>70633.989999999991</v>
      </c>
      <c r="I5" s="67">
        <f>SUMIFS(DataInProcessed!$E$3:$E$917,DataInProcessed!$S$3:$S$917,Monthly!$A5,DataInProcessed!$Q$3:$Q$917,"="&amp;MONTH(Monthly!I$1))</f>
        <v>0</v>
      </c>
      <c r="J5" s="67">
        <f>SUMIFS(DataInProcessed!$E$3:$E$917,DataInProcessed!$S$3:$S$917,Monthly!$A5,DataInProcessed!$Q$3:$Q$917,"="&amp;MONTH(Monthly!J$1))</f>
        <v>36808.5</v>
      </c>
      <c r="K5" s="67">
        <f>SUMIFS(DataInProcessed!$E$3:$E$917,DataInProcessed!$S$3:$S$917,Monthly!$A5,DataInProcessed!$Q$3:$Q$917,"="&amp;MONTH(Monthly!K$1))</f>
        <v>0</v>
      </c>
      <c r="L5" s="67">
        <f>SUMIFS(DataInProcessed!$E$3:$E$917,DataInProcessed!$S$3:$S$917,Monthly!$A5,DataInProcessed!$Q$3:$Q$917,"="&amp;MONTH(Monthly!L$1))</f>
        <v>0</v>
      </c>
      <c r="M5" s="67">
        <f>SUMIFS(DataInProcessed!$E$3:$E$917,DataInProcessed!$S$3:$S$917,Monthly!$A5,DataInProcessed!$Q$3:$Q$917,"="&amp;MONTH(Monthly!M$1))</f>
        <v>0</v>
      </c>
      <c r="N5" s="67">
        <f>SUMIFS(DataInProcessed!$E$3:$E$917,DataInProcessed!$S$3:$S$917,Monthly!$A5,DataInProcessed!$Q$3:$Q$917,"="&amp;MONTH(Monthly!N$1))</f>
        <v>0</v>
      </c>
      <c r="O5" s="68">
        <f t="shared" si="0"/>
        <v>111937.48999999999</v>
      </c>
    </row>
    <row r="6" spans="1:15" x14ac:dyDescent="0.2">
      <c r="A6" s="69" t="s">
        <v>221</v>
      </c>
      <c r="B6" s="69" t="s">
        <v>232</v>
      </c>
      <c r="C6" s="67">
        <f>SUMIFS(DataInProcessed!$E$3:$E$917,DataInProcessed!$S$3:$S$917,Monthly!$A6,DataInProcessed!$Q$3:$Q$917,"="&amp;MONTH(Monthly!C$1))</f>
        <v>0</v>
      </c>
      <c r="D6" s="67">
        <f>SUMIFS(DataInProcessed!$E$3:$E$917,DataInProcessed!$S$3:$S$917,Monthly!$A6,DataInProcessed!$Q$3:$Q$917,"="&amp;MONTH(Monthly!D$1))</f>
        <v>0</v>
      </c>
      <c r="E6" s="67">
        <f>SUMIFS(DataInProcessed!$E$3:$E$917,DataInProcessed!$S$3:$S$917,Monthly!$A6,DataInProcessed!$Q$3:$Q$917,"="&amp;MONTH(Monthly!E$1))</f>
        <v>0</v>
      </c>
      <c r="F6" s="67">
        <f>SUMIFS(DataInProcessed!$E$3:$E$917,DataInProcessed!$S$3:$S$917,Monthly!$A6,DataInProcessed!$Q$3:$Q$917,"="&amp;MONTH(Monthly!F$1))</f>
        <v>0</v>
      </c>
      <c r="G6" s="67">
        <f>SUMIFS(DataInProcessed!$E$3:$E$917,DataInProcessed!$S$3:$S$917,Monthly!$A6,DataInProcessed!$Q$3:$Q$917,"="&amp;MONTH(Monthly!G$1))</f>
        <v>15663.45</v>
      </c>
      <c r="H6" s="67">
        <f>SUMIFS(DataInProcessed!$E$3:$E$917,DataInProcessed!$S$3:$S$917,Monthly!$A6,DataInProcessed!$Q$3:$Q$917,"="&amp;MONTH(Monthly!H$1))</f>
        <v>12666.3</v>
      </c>
      <c r="I6" s="67">
        <f>SUMIFS(DataInProcessed!$E$3:$E$917,DataInProcessed!$S$3:$S$917,Monthly!$A6,DataInProcessed!$Q$3:$Q$917,"="&amp;MONTH(Monthly!I$1))</f>
        <v>20895</v>
      </c>
      <c r="J6" s="67">
        <f>SUMIFS(DataInProcessed!$E$3:$E$917,DataInProcessed!$S$3:$S$917,Monthly!$A6,DataInProcessed!$Q$3:$Q$917,"="&amp;MONTH(Monthly!J$1))</f>
        <v>26243</v>
      </c>
      <c r="K6" s="67">
        <f>SUMIFS(DataInProcessed!$E$3:$E$917,DataInProcessed!$S$3:$S$917,Monthly!$A6,DataInProcessed!$Q$3:$Q$917,"="&amp;MONTH(Monthly!K$1))</f>
        <v>0</v>
      </c>
      <c r="L6" s="67">
        <f>SUMIFS(DataInProcessed!$E$3:$E$917,DataInProcessed!$S$3:$S$917,Monthly!$A6,DataInProcessed!$Q$3:$Q$917,"="&amp;MONTH(Monthly!L$1))</f>
        <v>0</v>
      </c>
      <c r="M6" s="67">
        <f>SUMIFS(DataInProcessed!$E$3:$E$917,DataInProcessed!$S$3:$S$917,Monthly!$A6,DataInProcessed!$Q$3:$Q$917,"="&amp;MONTH(Monthly!M$1))</f>
        <v>0</v>
      </c>
      <c r="N6" s="67">
        <f>SUMIFS(DataInProcessed!$E$3:$E$917,DataInProcessed!$S$3:$S$917,Monthly!$A6,DataInProcessed!$Q$3:$Q$917,"="&amp;MONTH(Monthly!N$1))</f>
        <v>0</v>
      </c>
      <c r="O6" s="68">
        <f t="shared" si="0"/>
        <v>75467.75</v>
      </c>
    </row>
    <row r="7" spans="1:15" x14ac:dyDescent="0.2">
      <c r="A7" s="66" t="s">
        <v>223</v>
      </c>
      <c r="B7" s="66" t="s">
        <v>233</v>
      </c>
      <c r="C7" s="67">
        <f>SUMIFS(DataInProcessed!$E$3:$E$917,DataInProcessed!$S$3:$S$917,Monthly!$A7,DataInProcessed!$Q$3:$Q$917,"="&amp;MONTH(Monthly!C$1))</f>
        <v>0</v>
      </c>
      <c r="D7" s="67">
        <f>SUMIFS(DataInProcessed!$E$3:$E$917,DataInProcessed!$S$3:$S$917,Monthly!$A7,DataInProcessed!$Q$3:$Q$917,"="&amp;MONTH(Monthly!D$1))</f>
        <v>0</v>
      </c>
      <c r="E7" s="67">
        <f>SUMIFS(DataInProcessed!$E$3:$E$917,DataInProcessed!$S$3:$S$917,Monthly!$A7,DataInProcessed!$Q$3:$Q$917,"="&amp;MONTH(Monthly!E$1))</f>
        <v>0</v>
      </c>
      <c r="F7" s="67">
        <f>SUMIFS(DataInProcessed!$E$3:$E$917,DataInProcessed!$S$3:$S$917,Monthly!$A7,DataInProcessed!$Q$3:$Q$917,"="&amp;MONTH(Monthly!F$1))</f>
        <v>0</v>
      </c>
      <c r="G7" s="67">
        <f>SUMIFS(DataInProcessed!$E$3:$E$917,DataInProcessed!$S$3:$S$917,Monthly!$A7,DataInProcessed!$Q$3:$Q$917,"="&amp;MONTH(Monthly!G$1))</f>
        <v>7090.11</v>
      </c>
      <c r="H7" s="67">
        <f>SUMIFS(DataInProcessed!$E$3:$E$917,DataInProcessed!$S$3:$S$917,Monthly!$A7,DataInProcessed!$Q$3:$Q$917,"="&amp;MONTH(Monthly!H$1))</f>
        <v>4034.31</v>
      </c>
      <c r="I7" s="67">
        <f>SUMIFS(DataInProcessed!$E$3:$E$917,DataInProcessed!$S$3:$S$917,Monthly!$A7,DataInProcessed!$Q$3:$Q$917,"="&amp;MONTH(Monthly!I$1))</f>
        <v>7143</v>
      </c>
      <c r="J7" s="67">
        <f>SUMIFS(DataInProcessed!$E$3:$E$917,DataInProcessed!$S$3:$S$917,Monthly!$A7,DataInProcessed!$Q$3:$Q$917,"="&amp;MONTH(Monthly!J$1))</f>
        <v>11720.86</v>
      </c>
      <c r="K7" s="67">
        <f>SUMIFS(DataInProcessed!$E$3:$E$917,DataInProcessed!$S$3:$S$917,Monthly!$A7,DataInProcessed!$Q$3:$Q$917,"="&amp;MONTH(Monthly!K$1))</f>
        <v>0</v>
      </c>
      <c r="L7" s="67">
        <f>SUMIFS(DataInProcessed!$E$3:$E$917,DataInProcessed!$S$3:$S$917,Monthly!$A7,DataInProcessed!$Q$3:$Q$917,"="&amp;MONTH(Monthly!L$1))</f>
        <v>0</v>
      </c>
      <c r="M7" s="67">
        <f>SUMIFS(DataInProcessed!$E$3:$E$917,DataInProcessed!$S$3:$S$917,Monthly!$A7,DataInProcessed!$Q$3:$Q$917,"="&amp;MONTH(Monthly!M$1))</f>
        <v>0</v>
      </c>
      <c r="N7" s="67">
        <f>SUMIFS(DataInProcessed!$E$3:$E$917,DataInProcessed!$S$3:$S$917,Monthly!$A7,DataInProcessed!$Q$3:$Q$917,"="&amp;MONTH(Monthly!N$1))</f>
        <v>0</v>
      </c>
      <c r="O7" s="68">
        <f t="shared" si="0"/>
        <v>29988.28</v>
      </c>
    </row>
    <row r="8" spans="1:15" x14ac:dyDescent="0.2">
      <c r="A8" s="69" t="s">
        <v>227</v>
      </c>
      <c r="B8" s="69" t="s">
        <v>234</v>
      </c>
      <c r="C8" s="67">
        <f>SUMIFS(DataInProcessed!$E$3:$E$917,DataInProcessed!$S$3:$S$917,Monthly!$A8,DataInProcessed!$Q$3:$Q$917,"="&amp;MONTH(Monthly!C$1))</f>
        <v>0</v>
      </c>
      <c r="D8" s="67">
        <f>SUMIFS(DataInProcessed!$E$3:$E$917,DataInProcessed!$S$3:$S$917,Monthly!$A8,DataInProcessed!$Q$3:$Q$917,"="&amp;MONTH(Monthly!D$1))</f>
        <v>0</v>
      </c>
      <c r="E8" s="67">
        <f>SUMIFS(DataInProcessed!$E$3:$E$917,DataInProcessed!$S$3:$S$917,Monthly!$A8,DataInProcessed!$Q$3:$Q$917,"="&amp;MONTH(Monthly!E$1))</f>
        <v>0</v>
      </c>
      <c r="F8" s="67">
        <f>SUMIFS(DataInProcessed!$E$3:$E$917,DataInProcessed!$S$3:$S$917,Monthly!$A8,DataInProcessed!$Q$3:$Q$917,"="&amp;MONTH(Monthly!F$1))</f>
        <v>0</v>
      </c>
      <c r="G8" s="67">
        <f>SUMIFS(DataInProcessed!$E$3:$E$917,DataInProcessed!$S$3:$S$917,Monthly!$A8,DataInProcessed!$Q$3:$Q$917,"="&amp;MONTH(Monthly!G$1))</f>
        <v>29200</v>
      </c>
      <c r="H8" s="67">
        <f>SUMIFS(DataInProcessed!$E$3:$E$917,DataInProcessed!$S$3:$S$917,Monthly!$A8,DataInProcessed!$Q$3:$Q$917,"="&amp;MONTH(Monthly!H$1))</f>
        <v>37000</v>
      </c>
      <c r="I8" s="67">
        <f>SUMIFS(DataInProcessed!$E$3:$E$917,DataInProcessed!$S$3:$S$917,Monthly!$A8,DataInProcessed!$Q$3:$Q$917,"="&amp;MONTH(Monthly!I$1))</f>
        <v>30200</v>
      </c>
      <c r="J8" s="67">
        <f>SUMIFS(DataInProcessed!$E$3:$E$917,DataInProcessed!$S$3:$S$917,Monthly!$A8,DataInProcessed!$Q$3:$Q$917,"="&amp;MONTH(Monthly!J$1))</f>
        <v>24000</v>
      </c>
      <c r="K8" s="67">
        <f>SUMIFS(DataInProcessed!$E$3:$E$917,DataInProcessed!$S$3:$S$917,Monthly!$A8,DataInProcessed!$Q$3:$Q$917,"="&amp;MONTH(Monthly!K$1))</f>
        <v>0</v>
      </c>
      <c r="L8" s="67">
        <f>SUMIFS(DataInProcessed!$E$3:$E$917,DataInProcessed!$S$3:$S$917,Monthly!$A8,DataInProcessed!$Q$3:$Q$917,"="&amp;MONTH(Monthly!L$1))</f>
        <v>0</v>
      </c>
      <c r="M8" s="67">
        <f>SUMIFS(DataInProcessed!$E$3:$E$917,DataInProcessed!$S$3:$S$917,Monthly!$A8,DataInProcessed!$Q$3:$Q$917,"="&amp;MONTH(Monthly!M$1))</f>
        <v>0</v>
      </c>
      <c r="N8" s="67">
        <f>SUMIFS(DataInProcessed!$E$3:$E$917,DataInProcessed!$S$3:$S$917,Monthly!$A8,DataInProcessed!$Q$3:$Q$917,"="&amp;MONTH(Monthly!N$1))</f>
        <v>0</v>
      </c>
      <c r="O8" s="68">
        <f t="shared" si="0"/>
        <v>120400</v>
      </c>
    </row>
    <row r="9" spans="1:15" x14ac:dyDescent="0.2">
      <c r="A9" s="66" t="s">
        <v>222</v>
      </c>
      <c r="B9" s="66" t="s">
        <v>235</v>
      </c>
      <c r="C9" s="67">
        <f>SUMIFS(DataInProcessed!$E$3:$E$917,DataInProcessed!$S$3:$S$917,Monthly!$A9,DataInProcessed!$Q$3:$Q$917,"="&amp;MONTH(Monthly!C$1))</f>
        <v>0</v>
      </c>
      <c r="D9" s="67">
        <f>SUMIFS(DataInProcessed!$E$3:$E$917,DataInProcessed!$S$3:$S$917,Monthly!$A9,DataInProcessed!$Q$3:$Q$917,"="&amp;MONTH(Monthly!D$1))</f>
        <v>0</v>
      </c>
      <c r="E9" s="67">
        <f>SUMIFS(DataInProcessed!$E$3:$E$917,DataInProcessed!$S$3:$S$917,Monthly!$A9,DataInProcessed!$Q$3:$Q$917,"="&amp;MONTH(Monthly!E$1))</f>
        <v>0</v>
      </c>
      <c r="F9" s="67">
        <f>SUMIFS(DataInProcessed!$E$3:$E$917,DataInProcessed!$S$3:$S$917,Monthly!$A9,DataInProcessed!$Q$3:$Q$917,"="&amp;MONTH(Monthly!F$1))</f>
        <v>0</v>
      </c>
      <c r="G9" s="67">
        <f>SUMIFS(DataInProcessed!$E$3:$E$917,DataInProcessed!$S$3:$S$917,Monthly!$A9,DataInProcessed!$Q$3:$Q$917,"="&amp;MONTH(Monthly!G$1))</f>
        <v>0</v>
      </c>
      <c r="H9" s="67">
        <f>SUMIFS(DataInProcessed!$E$3:$E$917,DataInProcessed!$S$3:$S$917,Monthly!$A9,DataInProcessed!$Q$3:$Q$917,"="&amp;MONTH(Monthly!H$1))</f>
        <v>2500</v>
      </c>
      <c r="I9" s="67">
        <f>SUMIFS(DataInProcessed!$E$3:$E$917,DataInProcessed!$S$3:$S$917,Monthly!$A9,DataInProcessed!$Q$3:$Q$917,"="&amp;MONTH(Monthly!I$1))</f>
        <v>0</v>
      </c>
      <c r="J9" s="67">
        <f>SUMIFS(DataInProcessed!$E$3:$E$917,DataInProcessed!$S$3:$S$917,Monthly!$A9,DataInProcessed!$Q$3:$Q$917,"="&amp;MONTH(Monthly!J$1))</f>
        <v>62933.130000000005</v>
      </c>
      <c r="K9" s="67">
        <f>SUMIFS(DataInProcessed!$E$3:$E$917,DataInProcessed!$S$3:$S$917,Monthly!$A9,DataInProcessed!$Q$3:$Q$917,"="&amp;MONTH(Monthly!K$1))</f>
        <v>0</v>
      </c>
      <c r="L9" s="67">
        <f>SUMIFS(DataInProcessed!$E$3:$E$917,DataInProcessed!$S$3:$S$917,Monthly!$A9,DataInProcessed!$Q$3:$Q$917,"="&amp;MONTH(Monthly!L$1))</f>
        <v>0</v>
      </c>
      <c r="M9" s="67">
        <f>SUMIFS(DataInProcessed!$E$3:$E$917,DataInProcessed!$S$3:$S$917,Monthly!$A9,DataInProcessed!$Q$3:$Q$917,"="&amp;MONTH(Monthly!M$1))</f>
        <v>0</v>
      </c>
      <c r="N9" s="67">
        <f>SUMIFS(DataInProcessed!$E$3:$E$917,DataInProcessed!$S$3:$S$917,Monthly!$A9,DataInProcessed!$Q$3:$Q$917,"="&amp;MONTH(Monthly!N$1))</f>
        <v>0</v>
      </c>
      <c r="O9" s="68">
        <f t="shared" si="0"/>
        <v>65433.130000000005</v>
      </c>
    </row>
    <row r="10" spans="1:15" x14ac:dyDescent="0.2">
      <c r="A10" s="69" t="s">
        <v>260</v>
      </c>
      <c r="B10" s="69" t="s">
        <v>260</v>
      </c>
      <c r="C10" s="67">
        <f>SUMIFS(DataInProcessed!$E$3:$E$917,DataInProcessed!$S$3:$S$917,Monthly!$A10,DataInProcessed!$Q$3:$Q$917,"="&amp;MONTH(Monthly!C$1))</f>
        <v>0</v>
      </c>
      <c r="D10" s="67">
        <f>SUMIFS(DataInProcessed!$E$3:$E$917,DataInProcessed!$S$3:$S$917,Monthly!$A10,DataInProcessed!$Q$3:$Q$917,"="&amp;MONTH(Monthly!D$1))</f>
        <v>0</v>
      </c>
      <c r="E10" s="67">
        <f>SUMIFS(DataInProcessed!$E$3:$E$917,DataInProcessed!$S$3:$S$917,Monthly!$A10,DataInProcessed!$Q$3:$Q$917,"="&amp;MONTH(Monthly!E$1))</f>
        <v>0</v>
      </c>
      <c r="F10" s="67">
        <f>SUMIFS(DataInProcessed!$E$3:$E$917,DataInProcessed!$S$3:$S$917,Monthly!$A10,DataInProcessed!$Q$3:$Q$917,"="&amp;MONTH(Monthly!F$1))</f>
        <v>0</v>
      </c>
      <c r="G10" s="67">
        <f>SUMIFS(DataInProcessed!$E$3:$E$917,DataInProcessed!$S$3:$S$917,Monthly!$A10,DataInProcessed!$Q$3:$Q$917,"="&amp;MONTH(Monthly!G$1))</f>
        <v>0</v>
      </c>
      <c r="H10" s="67">
        <f>SUMIFS(DataInProcessed!$E$3:$E$917,DataInProcessed!$S$3:$S$917,Monthly!$A10,DataInProcessed!$Q$3:$Q$917,"="&amp;MONTH(Monthly!H$1))</f>
        <v>0</v>
      </c>
      <c r="I10" s="67">
        <f>SUMIFS(DataInProcessed!$E$3:$E$917,DataInProcessed!$S$3:$S$917,Monthly!$A10,DataInProcessed!$Q$3:$Q$917,"="&amp;MONTH(Monthly!I$1))</f>
        <v>0</v>
      </c>
      <c r="J10" s="67">
        <f>SUMIFS(DataInProcessed!$E$3:$E$917,DataInProcessed!$S$3:$S$917,Monthly!$A10,DataInProcessed!$Q$3:$Q$917,"="&amp;MONTH(Monthly!J$1))</f>
        <v>0</v>
      </c>
      <c r="K10" s="67">
        <f>SUMIFS(DataInProcessed!$E$3:$E$917,DataInProcessed!$S$3:$S$917,Monthly!$A10,DataInProcessed!$Q$3:$Q$917,"="&amp;MONTH(Monthly!K$1))</f>
        <v>0</v>
      </c>
      <c r="L10" s="67">
        <f>SUMIFS(DataInProcessed!$E$3:$E$917,DataInProcessed!$S$3:$S$917,Monthly!$A10,DataInProcessed!$Q$3:$Q$917,"="&amp;MONTH(Monthly!L$1))</f>
        <v>0</v>
      </c>
      <c r="M10" s="67">
        <f>SUMIFS(DataInProcessed!$E$3:$E$917,DataInProcessed!$S$3:$S$917,Monthly!$A10,DataInProcessed!$Q$3:$Q$917,"="&amp;MONTH(Monthly!M$1))</f>
        <v>0</v>
      </c>
      <c r="N10" s="67">
        <f>SUMIFS(DataInProcessed!$E$3:$E$917,DataInProcessed!$S$3:$S$917,Monthly!$A10,DataInProcessed!$Q$3:$Q$917,"="&amp;MONTH(Monthly!N$1))</f>
        <v>0</v>
      </c>
      <c r="O10" s="68">
        <f t="shared" si="0"/>
        <v>0</v>
      </c>
    </row>
    <row r="11" spans="1:15" x14ac:dyDescent="0.2">
      <c r="A11" s="70" t="s">
        <v>491</v>
      </c>
      <c r="B11" s="70" t="s">
        <v>493</v>
      </c>
      <c r="C11" s="71">
        <f>SUM(C3:C10)</f>
        <v>0</v>
      </c>
      <c r="D11" s="71">
        <f t="shared" ref="D11:N11" si="1">SUM(D3:D10)</f>
        <v>0</v>
      </c>
      <c r="E11" s="71">
        <f t="shared" si="1"/>
        <v>0</v>
      </c>
      <c r="F11" s="71">
        <f t="shared" si="1"/>
        <v>0</v>
      </c>
      <c r="G11" s="71">
        <f t="shared" si="1"/>
        <v>62432.37</v>
      </c>
      <c r="H11" s="71">
        <f t="shared" si="1"/>
        <v>133621.52999999997</v>
      </c>
      <c r="I11" s="71">
        <f t="shared" si="1"/>
        <v>66638.53</v>
      </c>
      <c r="J11" s="71">
        <f t="shared" si="1"/>
        <v>168157.47999999998</v>
      </c>
      <c r="K11" s="71">
        <f t="shared" si="1"/>
        <v>0</v>
      </c>
      <c r="L11" s="71">
        <f t="shared" si="1"/>
        <v>0</v>
      </c>
      <c r="M11" s="71">
        <f t="shared" si="1"/>
        <v>0</v>
      </c>
      <c r="N11" s="71">
        <f t="shared" si="1"/>
        <v>0</v>
      </c>
      <c r="O11" s="72">
        <f t="shared" si="0"/>
        <v>430849.90999999992</v>
      </c>
    </row>
    <row r="12" spans="1:15" x14ac:dyDescent="0.2">
      <c r="A12" s="73" t="s">
        <v>491</v>
      </c>
      <c r="B12" s="73" t="s">
        <v>489</v>
      </c>
      <c r="C12" s="71">
        <f>C2-C11</f>
        <v>0</v>
      </c>
      <c r="D12" s="71">
        <f t="shared" ref="D12:N12" si="2">D2-D11</f>
        <v>0</v>
      </c>
      <c r="E12" s="71">
        <f t="shared" si="2"/>
        <v>0</v>
      </c>
      <c r="F12" s="71">
        <f t="shared" si="2"/>
        <v>25451.200000000001</v>
      </c>
      <c r="G12" s="71">
        <f t="shared" si="2"/>
        <v>82416.63</v>
      </c>
      <c r="H12" s="71">
        <f t="shared" si="2"/>
        <v>-22323.52999999997</v>
      </c>
      <c r="I12" s="71">
        <f t="shared" si="2"/>
        <v>45666.47</v>
      </c>
      <c r="J12" s="71">
        <f t="shared" si="2"/>
        <v>-50236.479999999981</v>
      </c>
      <c r="K12" s="71">
        <f t="shared" si="2"/>
        <v>0</v>
      </c>
      <c r="L12" s="71">
        <f t="shared" si="2"/>
        <v>0</v>
      </c>
      <c r="M12" s="71">
        <f t="shared" si="2"/>
        <v>0</v>
      </c>
      <c r="N12" s="71">
        <f t="shared" si="2"/>
        <v>0</v>
      </c>
      <c r="O12" s="72">
        <f t="shared" si="0"/>
        <v>80974.290000000037</v>
      </c>
    </row>
    <row r="13" spans="1:15" ht="13.5" thickBot="1" x14ac:dyDescent="0.25">
      <c r="A13" s="74" t="s">
        <v>491</v>
      </c>
      <c r="B13" s="74" t="s">
        <v>490</v>
      </c>
      <c r="C13" s="75">
        <v>0</v>
      </c>
      <c r="D13" s="75">
        <v>0</v>
      </c>
      <c r="E13" s="75">
        <v>0</v>
      </c>
      <c r="F13" s="75">
        <v>0</v>
      </c>
      <c r="G13" s="75">
        <v>50000</v>
      </c>
      <c r="H13" s="75">
        <v>50000</v>
      </c>
      <c r="I13" s="75">
        <v>50000</v>
      </c>
      <c r="J13" s="75">
        <v>50000</v>
      </c>
      <c r="K13" s="75">
        <v>50000</v>
      </c>
      <c r="L13" s="75">
        <v>0</v>
      </c>
      <c r="M13" s="75">
        <v>0</v>
      </c>
      <c r="N13" s="75">
        <v>0</v>
      </c>
      <c r="O13" s="76">
        <f>SUM(C13:N13)</f>
        <v>250000</v>
      </c>
    </row>
    <row r="21" spans="8:10" x14ac:dyDescent="0.2">
      <c r="H21" s="39"/>
    </row>
    <row r="29" spans="8:10" x14ac:dyDescent="0.2">
      <c r="J29">
        <v>64350</v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5"/>
  <sheetViews>
    <sheetView tabSelected="1" topLeftCell="A4" workbookViewId="0">
      <selection activeCell="N23" sqref="N23:N25"/>
    </sheetView>
  </sheetViews>
  <sheetFormatPr defaultRowHeight="12.75" x14ac:dyDescent="0.2"/>
  <sheetData>
    <row r="1" spans="1:13" x14ac:dyDescent="0.2">
      <c r="A1" s="1" t="str">
        <f>Monthly!B1</f>
        <v>Description</v>
      </c>
      <c r="B1" s="30">
        <f>Monthly!C1</f>
        <v>42736</v>
      </c>
      <c r="C1" s="30">
        <f>Monthly!D1</f>
        <v>42767</v>
      </c>
      <c r="D1" s="30">
        <f>Monthly!E1</f>
        <v>42795</v>
      </c>
      <c r="E1" s="30">
        <f>Monthly!F1</f>
        <v>42826</v>
      </c>
      <c r="F1" s="30">
        <f>Monthly!G1</f>
        <v>42856</v>
      </c>
      <c r="G1" s="30">
        <f>Monthly!H1</f>
        <v>42887</v>
      </c>
      <c r="H1" s="30">
        <f>Monthly!I1</f>
        <v>42917</v>
      </c>
      <c r="I1" s="30">
        <f>Monthly!J1</f>
        <v>42948</v>
      </c>
      <c r="J1" s="30">
        <f>Monthly!K1</f>
        <v>42979</v>
      </c>
      <c r="K1" s="30">
        <f>Monthly!L1</f>
        <v>43009</v>
      </c>
      <c r="L1" s="30">
        <f>Monthly!M1</f>
        <v>43040</v>
      </c>
      <c r="M1" s="30">
        <f>Monthly!N1</f>
        <v>43070</v>
      </c>
    </row>
    <row r="2" spans="1:13" x14ac:dyDescent="0.2">
      <c r="A2" s="8" t="str">
        <f>Monthly!B12</f>
        <v>Saved</v>
      </c>
      <c r="B2" s="50">
        <f>Monthly!C12</f>
        <v>0</v>
      </c>
      <c r="C2" s="33">
        <f>Monthly!D12</f>
        <v>0</v>
      </c>
      <c r="D2" s="33">
        <f>Monthly!E12</f>
        <v>0</v>
      </c>
      <c r="E2" s="33">
        <f>Monthly!F12</f>
        <v>25451.200000000001</v>
      </c>
      <c r="F2" s="33">
        <f>Monthly!G12</f>
        <v>82416.63</v>
      </c>
      <c r="G2" s="33">
        <f>Monthly!H12</f>
        <v>-22323.52999999997</v>
      </c>
      <c r="H2" s="33">
        <f>Monthly!I12</f>
        <v>45666.47</v>
      </c>
      <c r="I2" s="33">
        <f>Monthly!J12</f>
        <v>-50236.479999999981</v>
      </c>
      <c r="J2" s="33">
        <f>Monthly!K12</f>
        <v>0</v>
      </c>
      <c r="K2" s="33">
        <f>Monthly!L12</f>
        <v>0</v>
      </c>
      <c r="L2" s="33">
        <f>Monthly!M12</f>
        <v>0</v>
      </c>
      <c r="M2" s="33">
        <f>Monthly!N12</f>
        <v>0</v>
      </c>
    </row>
    <row r="3" spans="1:13" x14ac:dyDescent="0.2">
      <c r="A3" s="9" t="s">
        <v>508</v>
      </c>
      <c r="B3" s="51">
        <f>SUM($B2:B2)</f>
        <v>0</v>
      </c>
      <c r="C3" s="39">
        <f>SUM($B2:C2)</f>
        <v>0</v>
      </c>
      <c r="D3" s="39">
        <f>SUM($B2:D2)</f>
        <v>0</v>
      </c>
      <c r="E3" s="39">
        <f>SUM($B2:E2)</f>
        <v>25451.200000000001</v>
      </c>
      <c r="F3" s="39">
        <f>SUM($B2:F2)</f>
        <v>107867.83</v>
      </c>
      <c r="G3" s="39">
        <f>SUM($B2:G2)</f>
        <v>85544.300000000032</v>
      </c>
      <c r="H3" s="39">
        <f>SUM($B2:H2)</f>
        <v>131210.77000000002</v>
      </c>
      <c r="I3" s="39">
        <f>SUM($B2:I2)</f>
        <v>80974.290000000037</v>
      </c>
      <c r="J3" s="39">
        <f>SUM($B2:J2)</f>
        <v>80974.290000000037</v>
      </c>
      <c r="K3" s="39">
        <f>SUM($B2:K2)</f>
        <v>80974.290000000037</v>
      </c>
      <c r="L3" s="39">
        <f>SUM($B2:L2)</f>
        <v>80974.290000000037</v>
      </c>
      <c r="M3" s="40">
        <f>SUM($B2:M2)</f>
        <v>80974.290000000037</v>
      </c>
    </row>
    <row r="4" spans="1:13" x14ac:dyDescent="0.2">
      <c r="A4" s="8" t="str">
        <f>Monthly!B13</f>
        <v>Budget</v>
      </c>
      <c r="B4" s="51">
        <f>Monthly!C13</f>
        <v>0</v>
      </c>
      <c r="C4" s="39">
        <f>Monthly!D13</f>
        <v>0</v>
      </c>
      <c r="D4" s="39">
        <f>Monthly!E13</f>
        <v>0</v>
      </c>
      <c r="E4" s="39">
        <f>Monthly!F13</f>
        <v>0</v>
      </c>
      <c r="F4" s="39">
        <f>Monthly!G13</f>
        <v>50000</v>
      </c>
      <c r="G4" s="39">
        <f>Monthly!H13</f>
        <v>50000</v>
      </c>
      <c r="H4" s="39">
        <f>Monthly!I13</f>
        <v>50000</v>
      </c>
      <c r="I4" s="39">
        <f>Monthly!J13</f>
        <v>50000</v>
      </c>
      <c r="J4" s="39">
        <f>Monthly!K13</f>
        <v>50000</v>
      </c>
      <c r="K4" s="39">
        <f>Monthly!L13</f>
        <v>0</v>
      </c>
      <c r="L4" s="39">
        <f>Monthly!M13</f>
        <v>0</v>
      </c>
      <c r="M4" s="40">
        <f>Monthly!N13</f>
        <v>0</v>
      </c>
    </row>
    <row r="5" spans="1:13" x14ac:dyDescent="0.2">
      <c r="A5" s="9" t="s">
        <v>509</v>
      </c>
      <c r="B5" s="52">
        <f>SUM($B4:B4)</f>
        <v>0</v>
      </c>
      <c r="C5" s="41">
        <f>SUM($B4:C4)</f>
        <v>0</v>
      </c>
      <c r="D5" s="41">
        <f>SUM($B4:D4)</f>
        <v>0</v>
      </c>
      <c r="E5" s="41">
        <f>SUM($B4:E4)</f>
        <v>0</v>
      </c>
      <c r="F5" s="41">
        <f>SUM($B4:F4)</f>
        <v>50000</v>
      </c>
      <c r="G5" s="41">
        <f>SUM($B4:G4)</f>
        <v>100000</v>
      </c>
      <c r="H5" s="41">
        <f>SUM($B4:H4)</f>
        <v>150000</v>
      </c>
      <c r="I5" s="41">
        <f>SUM($B4:I4)</f>
        <v>200000</v>
      </c>
      <c r="J5" s="41">
        <f>SUM($B4:J4)</f>
        <v>250000</v>
      </c>
      <c r="K5" s="41">
        <f>SUM($B4:K4)</f>
        <v>250000</v>
      </c>
      <c r="L5" s="41">
        <f>SUM($B4:L4)</f>
        <v>250000</v>
      </c>
      <c r="M5" s="42">
        <f>SUM($B4:M4)</f>
        <v>250000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Control</vt:lpstr>
      <vt:lpstr>Config</vt:lpstr>
      <vt:lpstr>DataIn</vt:lpstr>
      <vt:lpstr>CategoriesConfig</vt:lpstr>
      <vt:lpstr>DataInProcessed</vt:lpstr>
      <vt:lpstr>Breakdown</vt:lpstr>
      <vt:lpstr>Waterfall</vt:lpstr>
      <vt:lpstr>Monthly</vt:lpstr>
      <vt:lpstr>Rolling</vt:lpstr>
      <vt:lpstr>Monthly_Summary</vt:lpstr>
      <vt:lpstr>YTD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Lawrence</dc:creator>
  <cp:lastModifiedBy>Lawrence</cp:lastModifiedBy>
  <dcterms:created xsi:type="dcterms:W3CDTF">2017-07-15T14:29:20Z</dcterms:created>
  <dcterms:modified xsi:type="dcterms:W3CDTF">2017-09-09T10:12:25Z</dcterms:modified>
</cp:coreProperties>
</file>